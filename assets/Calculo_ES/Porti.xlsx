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ete\Desktop\Portifolio\Calculo_ES\"/>
    </mc:Choice>
  </mc:AlternateContent>
  <xr:revisionPtr revIDLastSave="0" documentId="13_ncr:1_{56059660-33B5-4041-A980-E61FDD254C1C}" xr6:coauthVersionLast="47" xr6:coauthVersionMax="47" xr10:uidLastSave="{00000000-0000-0000-0000-000000000000}"/>
  <bookViews>
    <workbookView xWindow="-120" yWindow="-120" windowWidth="19440" windowHeight="14880" xr2:uid="{B95C3B03-0868-4A4A-A836-4E7751EF0441}"/>
  </bookViews>
  <sheets>
    <sheet name="Produtos" sheetId="1" r:id="rId1"/>
    <sheet name="Movimentação" sheetId="2" r:id="rId2"/>
    <sheet name="Planilha_Vendas" sheetId="3" r:id="rId3"/>
    <sheet name="Movimentação_Mese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2" i="2"/>
  <c r="M2" i="2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2" i="4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2" i="2"/>
  <c r="M26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2" i="1"/>
  <c r="C2" i="3" s="1"/>
  <c r="A42" i="3"/>
  <c r="A43" i="3"/>
  <c r="A44" i="3"/>
  <c r="A45" i="3"/>
  <c r="A46" i="3"/>
  <c r="A47" i="3"/>
  <c r="A48" i="3"/>
  <c r="A49" i="3"/>
  <c r="A50" i="3"/>
  <c r="A41" i="3"/>
  <c r="I42" i="2"/>
  <c r="I43" i="2"/>
  <c r="I44" i="2"/>
  <c r="I45" i="2"/>
  <c r="I46" i="2"/>
  <c r="I47" i="2"/>
  <c r="I48" i="2"/>
  <c r="I49" i="2"/>
  <c r="I50" i="2"/>
  <c r="I4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2" i="2"/>
  <c r="G50" i="2"/>
  <c r="A50" i="4" s="1"/>
  <c r="G42" i="2"/>
  <c r="A42" i="4" s="1"/>
  <c r="G43" i="2"/>
  <c r="A43" i="4" s="1"/>
  <c r="G44" i="2"/>
  <c r="A44" i="4" s="1"/>
  <c r="G45" i="2"/>
  <c r="A45" i="4" s="1"/>
  <c r="G46" i="2"/>
  <c r="A46" i="4" s="1"/>
  <c r="G47" i="2"/>
  <c r="A47" i="4" s="1"/>
  <c r="G48" i="2"/>
  <c r="A48" i="4" s="1"/>
  <c r="G49" i="2"/>
  <c r="A49" i="4" s="1"/>
  <c r="G41" i="2"/>
  <c r="A41" i="4" s="1"/>
  <c r="G3" i="2"/>
  <c r="A3" i="4" s="1"/>
  <c r="G4" i="2"/>
  <c r="A4" i="4" s="1"/>
  <c r="G5" i="2"/>
  <c r="A5" i="4" s="1"/>
  <c r="G6" i="2"/>
  <c r="A6" i="4" s="1"/>
  <c r="G7" i="2"/>
  <c r="A7" i="4" s="1"/>
  <c r="G8" i="2"/>
  <c r="A8" i="4" s="1"/>
  <c r="G9" i="2"/>
  <c r="A9" i="4" s="1"/>
  <c r="G10" i="2"/>
  <c r="A10" i="4" s="1"/>
  <c r="G11" i="2"/>
  <c r="A11" i="4" s="1"/>
  <c r="G12" i="2"/>
  <c r="A12" i="4" s="1"/>
  <c r="G13" i="2"/>
  <c r="A13" i="4" s="1"/>
  <c r="G14" i="2"/>
  <c r="A14" i="4" s="1"/>
  <c r="G15" i="2"/>
  <c r="A15" i="4" s="1"/>
  <c r="G16" i="2"/>
  <c r="A16" i="4" s="1"/>
  <c r="G17" i="2"/>
  <c r="A17" i="4" s="1"/>
  <c r="G18" i="2"/>
  <c r="A18" i="4" s="1"/>
  <c r="G19" i="2"/>
  <c r="A19" i="4" s="1"/>
  <c r="G20" i="2"/>
  <c r="A20" i="4" s="1"/>
  <c r="G21" i="2"/>
  <c r="A21" i="4" s="1"/>
  <c r="G22" i="2"/>
  <c r="A22" i="4" s="1"/>
  <c r="G23" i="2"/>
  <c r="A23" i="4" s="1"/>
  <c r="G24" i="2"/>
  <c r="A24" i="4" s="1"/>
  <c r="G25" i="2"/>
  <c r="A25" i="4" s="1"/>
  <c r="G26" i="2"/>
  <c r="A26" i="4" s="1"/>
  <c r="G27" i="2"/>
  <c r="A27" i="4" s="1"/>
  <c r="G28" i="2"/>
  <c r="A28" i="4" s="1"/>
  <c r="G29" i="2"/>
  <c r="A29" i="4" s="1"/>
  <c r="G30" i="2"/>
  <c r="A30" i="4" s="1"/>
  <c r="G31" i="2"/>
  <c r="A31" i="4" s="1"/>
  <c r="G32" i="2"/>
  <c r="A32" i="4" s="1"/>
  <c r="G33" i="2"/>
  <c r="A33" i="4" s="1"/>
  <c r="G34" i="2"/>
  <c r="A34" i="4" s="1"/>
  <c r="G35" i="2"/>
  <c r="A35" i="4" s="1"/>
  <c r="G36" i="2"/>
  <c r="A36" i="4" s="1"/>
  <c r="G37" i="2"/>
  <c r="A37" i="4" s="1"/>
  <c r="G38" i="2"/>
  <c r="A38" i="4" s="1"/>
  <c r="G39" i="2"/>
  <c r="A39" i="4" s="1"/>
  <c r="G40" i="2"/>
  <c r="A40" i="4" s="1"/>
  <c r="G2" i="2"/>
  <c r="A2" i="4" s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2" i="3"/>
  <c r="I3" i="1"/>
  <c r="E3" i="3" s="1"/>
  <c r="I4" i="1"/>
  <c r="E4" i="3" s="1"/>
  <c r="I5" i="1"/>
  <c r="E5" i="3" s="1"/>
  <c r="I6" i="1"/>
  <c r="E6" i="3" s="1"/>
  <c r="I7" i="1"/>
  <c r="E7" i="3" s="1"/>
  <c r="I8" i="1"/>
  <c r="E8" i="3" s="1"/>
  <c r="I9" i="1"/>
  <c r="E9" i="3" s="1"/>
  <c r="I10" i="1"/>
  <c r="E10" i="3" s="1"/>
  <c r="I11" i="1"/>
  <c r="E11" i="3" s="1"/>
  <c r="I12" i="1"/>
  <c r="E12" i="3" s="1"/>
  <c r="I13" i="1"/>
  <c r="E13" i="3" s="1"/>
  <c r="I14" i="1"/>
  <c r="E14" i="3" s="1"/>
  <c r="I15" i="1"/>
  <c r="E15" i="3" s="1"/>
  <c r="I16" i="1"/>
  <c r="E16" i="3" s="1"/>
  <c r="I17" i="1"/>
  <c r="E17" i="3" s="1"/>
  <c r="I18" i="1"/>
  <c r="E18" i="3" s="1"/>
  <c r="I19" i="1"/>
  <c r="E19" i="3" s="1"/>
  <c r="I20" i="1"/>
  <c r="E20" i="3" s="1"/>
  <c r="I21" i="1"/>
  <c r="E21" i="3" s="1"/>
  <c r="I22" i="1"/>
  <c r="E22" i="3" s="1"/>
  <c r="I23" i="1"/>
  <c r="E23" i="3" s="1"/>
  <c r="I24" i="1"/>
  <c r="E24" i="3" s="1"/>
  <c r="I25" i="1"/>
  <c r="E25" i="3" s="1"/>
  <c r="I26" i="1"/>
  <c r="E26" i="3" s="1"/>
  <c r="I27" i="1"/>
  <c r="E27" i="3" s="1"/>
  <c r="I28" i="1"/>
  <c r="E28" i="3" s="1"/>
  <c r="I29" i="1"/>
  <c r="E29" i="3" s="1"/>
  <c r="I30" i="1"/>
  <c r="E30" i="3" s="1"/>
  <c r="I31" i="1"/>
  <c r="E31" i="3" s="1"/>
  <c r="I32" i="1"/>
  <c r="E32" i="3" s="1"/>
  <c r="I33" i="1"/>
  <c r="E33" i="3" s="1"/>
  <c r="I34" i="1"/>
  <c r="E34" i="3" s="1"/>
  <c r="I35" i="1"/>
  <c r="E35" i="3" s="1"/>
  <c r="I36" i="1"/>
  <c r="E36" i="3" s="1"/>
  <c r="I37" i="1"/>
  <c r="E37" i="3" s="1"/>
  <c r="I38" i="1"/>
  <c r="E38" i="3" s="1"/>
  <c r="I39" i="1"/>
  <c r="E39" i="3" s="1"/>
  <c r="I40" i="1"/>
  <c r="E40" i="3" s="1"/>
  <c r="I2" i="1"/>
  <c r="E2" i="3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2" i="2"/>
  <c r="K3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E47" i="2" l="1"/>
  <c r="E23" i="2"/>
  <c r="E44" i="2"/>
  <c r="E43" i="2"/>
  <c r="E31" i="2"/>
  <c r="E19" i="2"/>
  <c r="E7" i="2"/>
  <c r="E40" i="2"/>
  <c r="E16" i="2"/>
  <c r="E17" i="2"/>
  <c r="E11" i="2"/>
  <c r="E45" i="2"/>
  <c r="E33" i="2"/>
  <c r="E28" i="2"/>
  <c r="E4" i="2"/>
  <c r="E32" i="2"/>
  <c r="E35" i="2"/>
  <c r="E21" i="2"/>
  <c r="E9" i="2"/>
  <c r="E8" i="2"/>
  <c r="E41" i="2"/>
  <c r="E29" i="2"/>
  <c r="E5" i="2"/>
  <c r="E20" i="2"/>
  <c r="E42" i="2"/>
  <c r="E30" i="2"/>
  <c r="E18" i="2"/>
  <c r="E6" i="2"/>
  <c r="E46" i="2"/>
  <c r="E34" i="2"/>
  <c r="E22" i="2"/>
  <c r="E10" i="2"/>
  <c r="E49" i="2"/>
  <c r="E37" i="2"/>
  <c r="E25" i="2"/>
  <c r="E13" i="2"/>
  <c r="E48" i="2"/>
  <c r="E24" i="2"/>
  <c r="E12" i="2"/>
  <c r="E2" i="2"/>
  <c r="E39" i="2"/>
  <c r="E27" i="2"/>
  <c r="E15" i="2"/>
  <c r="E3" i="2"/>
  <c r="E50" i="2"/>
  <c r="E38" i="2"/>
  <c r="E26" i="2"/>
  <c r="E14" i="2"/>
  <c r="E36" i="2"/>
  <c r="E50" i="3"/>
  <c r="G50" i="3" s="1"/>
  <c r="E49" i="3"/>
  <c r="G49" i="3" s="1"/>
  <c r="E48" i="3"/>
  <c r="G48" i="3" s="1"/>
  <c r="E47" i="3"/>
  <c r="G47" i="3" s="1"/>
  <c r="E46" i="3"/>
  <c r="G46" i="3" s="1"/>
  <c r="E45" i="3"/>
  <c r="G45" i="3" s="1"/>
  <c r="E44" i="3"/>
  <c r="G44" i="3" s="1"/>
  <c r="E43" i="3"/>
  <c r="G43" i="3" s="1"/>
  <c r="E42" i="3"/>
  <c r="G42" i="3" s="1"/>
  <c r="E41" i="3"/>
  <c r="G41" i="3" s="1"/>
  <c r="G29" i="3"/>
  <c r="G30" i="3"/>
  <c r="G18" i="3"/>
  <c r="G6" i="3"/>
  <c r="G40" i="3"/>
  <c r="G28" i="3"/>
  <c r="G16" i="3"/>
  <c r="G4" i="3"/>
  <c r="G39" i="3"/>
  <c r="G27" i="3"/>
  <c r="G15" i="3"/>
  <c r="G3" i="3"/>
  <c r="G14" i="3"/>
  <c r="G38" i="3"/>
  <c r="G37" i="3"/>
  <c r="G25" i="3"/>
  <c r="G13" i="3"/>
  <c r="G26" i="3"/>
  <c r="G36" i="3"/>
  <c r="G24" i="3"/>
  <c r="G12" i="3"/>
  <c r="G23" i="3"/>
  <c r="G11" i="3"/>
  <c r="G35" i="3"/>
  <c r="G34" i="3"/>
  <c r="G22" i="3"/>
  <c r="G10" i="3"/>
  <c r="G33" i="3"/>
  <c r="G21" i="3"/>
  <c r="G9" i="3"/>
  <c r="G17" i="3"/>
  <c r="G32" i="3"/>
  <c r="G5" i="3"/>
  <c r="G20" i="3"/>
  <c r="G8" i="3"/>
  <c r="G31" i="3"/>
  <c r="G19" i="3"/>
  <c r="G7" i="3"/>
  <c r="G2" i="3"/>
</calcChain>
</file>

<file path=xl/sharedStrings.xml><?xml version="1.0" encoding="utf-8"?>
<sst xmlns="http://schemas.openxmlformats.org/spreadsheetml/2006/main" count="142" uniqueCount="109">
  <si>
    <t>SKU</t>
  </si>
  <si>
    <t>Descrição</t>
  </si>
  <si>
    <t>Categoria</t>
  </si>
  <si>
    <t>Preço unit</t>
  </si>
  <si>
    <t>Data</t>
  </si>
  <si>
    <t>Tipo</t>
  </si>
  <si>
    <t>Quant</t>
  </si>
  <si>
    <t>N° Doc</t>
  </si>
  <si>
    <t>Valor Total</t>
  </si>
  <si>
    <t>ARZ-001</t>
  </si>
  <si>
    <t>ARZ-002</t>
  </si>
  <si>
    <t>ARZ-003</t>
  </si>
  <si>
    <t>MAC-001</t>
  </si>
  <si>
    <t>MAC-002</t>
  </si>
  <si>
    <t>MAC-003</t>
  </si>
  <si>
    <t>FEI-001</t>
  </si>
  <si>
    <t>FEI-002</t>
  </si>
  <si>
    <t>FEI-003</t>
  </si>
  <si>
    <t>CX-CREM-LEITE-001</t>
  </si>
  <si>
    <t>CX-CREM-LEITE-002</t>
  </si>
  <si>
    <t>CX-CREM-LEITE-003</t>
  </si>
  <si>
    <t>LT-CREM-LEITE-001</t>
  </si>
  <si>
    <t>LT-CREM-LEITE-002</t>
  </si>
  <si>
    <t>LT-CREM-LEITE-003</t>
  </si>
  <si>
    <t>CX-LEITE-COND-001</t>
  </si>
  <si>
    <t>CX-LEITE-COND-002</t>
  </si>
  <si>
    <t>CX-LEITE-COND-003</t>
  </si>
  <si>
    <t>LT-LEITE-COND-003</t>
  </si>
  <si>
    <t>LT-LEITE-COND-001</t>
  </si>
  <si>
    <t>LT-LEITE-COND-002</t>
  </si>
  <si>
    <t>PT-FRANG-001</t>
  </si>
  <si>
    <t>PT-FRANG-002</t>
  </si>
  <si>
    <t>PT-FRANG-003</t>
  </si>
  <si>
    <t>COX-FRANG-001</t>
  </si>
  <si>
    <t>COX-FRANG-002</t>
  </si>
  <si>
    <t>COX-FRANG-003</t>
  </si>
  <si>
    <t>REFRIG-001</t>
  </si>
  <si>
    <t>REFRIG-002</t>
  </si>
  <si>
    <t>REFRIG-003</t>
  </si>
  <si>
    <t>TEMP-001</t>
  </si>
  <si>
    <t>TEMP-002</t>
  </si>
  <si>
    <t>TEMP-003</t>
  </si>
  <si>
    <t>BOLACH-001</t>
  </si>
  <si>
    <t>BOLACH-002</t>
  </si>
  <si>
    <t>BOLACH-003</t>
  </si>
  <si>
    <t>BISC-001</t>
  </si>
  <si>
    <t>BISC-002</t>
  </si>
  <si>
    <t>BISC-003</t>
  </si>
  <si>
    <t>Arroz Branco</t>
  </si>
  <si>
    <t>Arroz Parborizado</t>
  </si>
  <si>
    <t>Arroz Integral</t>
  </si>
  <si>
    <t>Macarrão Fusilli</t>
  </si>
  <si>
    <t>Macarrão Penne</t>
  </si>
  <si>
    <t>Macarrão Spaghetti</t>
  </si>
  <si>
    <t>Feijão Carioca</t>
  </si>
  <si>
    <t>Feijão Preto</t>
  </si>
  <si>
    <t>Feijão Branco</t>
  </si>
  <si>
    <t>Caixa Creme deLeite A</t>
  </si>
  <si>
    <t>Caixa Creme deLeite B</t>
  </si>
  <si>
    <t>Caixa Creme deLeite C</t>
  </si>
  <si>
    <t>Lata Creme de Leite A</t>
  </si>
  <si>
    <t>Lata Creme de Leite B</t>
  </si>
  <si>
    <t>Lata Creme de Leite C</t>
  </si>
  <si>
    <t>Leite Condensado Caixa A</t>
  </si>
  <si>
    <t>Leite Condensado Caixa B</t>
  </si>
  <si>
    <t>Leite Condensado Caixa C</t>
  </si>
  <si>
    <t>Leite Condensado Lata A</t>
  </si>
  <si>
    <t>Leite Condensado Lata B</t>
  </si>
  <si>
    <t>Leite Condensado Lata C</t>
  </si>
  <si>
    <t>Peito de frango A</t>
  </si>
  <si>
    <t>Peito de frango B</t>
  </si>
  <si>
    <t>Peito de frango C</t>
  </si>
  <si>
    <t>Coxa de Frango A</t>
  </si>
  <si>
    <t>Coxa de Frango B</t>
  </si>
  <si>
    <t>Coxa de Frango C</t>
  </si>
  <si>
    <t>Refrigerante A</t>
  </si>
  <si>
    <t>Refrigerante B</t>
  </si>
  <si>
    <t>Refrigerante C</t>
  </si>
  <si>
    <t>Tempero A</t>
  </si>
  <si>
    <t>Tempero B</t>
  </si>
  <si>
    <t>Tempero C</t>
  </si>
  <si>
    <t>Bolacha A</t>
  </si>
  <si>
    <t>Bolacha B</t>
  </si>
  <si>
    <t>Bolacha C</t>
  </si>
  <si>
    <t>Biscoito A</t>
  </si>
  <si>
    <t>Biscoito B</t>
  </si>
  <si>
    <t>Biscoito C</t>
  </si>
  <si>
    <t>Cereal</t>
  </si>
  <si>
    <t>Massa</t>
  </si>
  <si>
    <t>Leguminosa</t>
  </si>
  <si>
    <t xml:space="preserve"> Laticínio</t>
  </si>
  <si>
    <t>Produtos lácteos</t>
  </si>
  <si>
    <t>Carnes brancas</t>
  </si>
  <si>
    <t>Bebidas doces e gaseificadas</t>
  </si>
  <si>
    <t>Ervas e Especiarias</t>
  </si>
  <si>
    <t>Bolachas Laminadas</t>
  </si>
  <si>
    <t>Biscoitos recheados</t>
  </si>
  <si>
    <t>Data atual</t>
  </si>
  <si>
    <t>Venda Mensal</t>
  </si>
  <si>
    <t>Quant Vendida</t>
  </si>
  <si>
    <t>Lead time</t>
  </si>
  <si>
    <t>Valor Uni</t>
  </si>
  <si>
    <t>Jan</t>
  </si>
  <si>
    <t>Fev</t>
  </si>
  <si>
    <t>Mar</t>
  </si>
  <si>
    <t>Abr</t>
  </si>
  <si>
    <t>Mai</t>
  </si>
  <si>
    <t>Quant Atual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</si>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</sst>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164" fontId="0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0" fontId="0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B10B3-FE4E-43A3-AACD-CB529DBCB976}">
  <dimension ref="A1:J40"/>
  <sheetViews>
    <sheetView tabSelected="1" topLeftCell="A16" workbookViewId="0">
      <selection activeCell="C41" sqref="C1:D1048576"/>
    </sheetView>
  </sheetViews>
  <sheetFormatPr defaultRowHeight="15" x14ac:dyDescent="0.25"/>
  <cols>
    <col min="2" max="2" width="10.42578125" customWidth="1"/>
    <col min="3" max="3" width="9.28515625" customWidth="1"/>
    <col min="4" max="4" width="15.42578125" customWidth="1"/>
    <col min="6" max="6" width="21.42578125" customWidth="1"/>
    <col min="10" max="10" width="12" customWidth="1"/>
  </cols>
  <sheetData>
    <row r="1" spans="1:10" x14ac:dyDescent="0.25">
      <c r="A1" s="3" t="s">
        <v>0</v>
      </c>
      <c r="B1" s="3"/>
      <c r="C1" s="3" t="s">
        <v>1</v>
      </c>
      <c r="D1" s="3"/>
      <c r="E1" s="3" t="s">
        <v>2</v>
      </c>
      <c r="F1" s="3"/>
      <c r="G1" s="3" t="s">
        <v>98</v>
      </c>
      <c r="H1" s="3"/>
      <c r="I1" s="3" t="s">
        <v>3</v>
      </c>
      <c r="J1" s="3"/>
    </row>
    <row r="2" spans="1:10" x14ac:dyDescent="0.25">
      <c r="A2" s="4" t="s">
        <v>9</v>
      </c>
      <c r="B2" s="4"/>
      <c r="C2" s="4" t="s">
        <v>48</v>
      </c>
      <c r="D2" s="4"/>
      <c r="E2" s="4" t="s">
        <v>87</v>
      </c>
      <c r="F2" s="4"/>
      <c r="G2" s="5">
        <f ca="1">RANDBETWEEN(50,1000)</f>
        <v>68</v>
      </c>
      <c r="H2" s="5"/>
      <c r="I2" s="2">
        <f ca="1">RANDBETWEEN(5,35)/2</f>
        <v>16</v>
      </c>
      <c r="J2" s="2"/>
    </row>
    <row r="3" spans="1:10" x14ac:dyDescent="0.25">
      <c r="A3" s="4" t="s">
        <v>10</v>
      </c>
      <c r="B3" s="4"/>
      <c r="C3" s="4" t="s">
        <v>49</v>
      </c>
      <c r="D3" s="4"/>
      <c r="E3" s="4" t="s">
        <v>87</v>
      </c>
      <c r="F3" s="4"/>
      <c r="G3" s="5">
        <f t="shared" ref="G3:G40" ca="1" si="0">RANDBETWEEN(50,1000)</f>
        <v>174</v>
      </c>
      <c r="H3" s="5"/>
      <c r="I3" s="2">
        <f t="shared" ref="I3:I40" ca="1" si="1">RANDBETWEEN(5,35)/2</f>
        <v>16.5</v>
      </c>
      <c r="J3" s="2"/>
    </row>
    <row r="4" spans="1:10" x14ac:dyDescent="0.25">
      <c r="A4" s="4" t="s">
        <v>11</v>
      </c>
      <c r="B4" s="4"/>
      <c r="C4" s="4" t="s">
        <v>50</v>
      </c>
      <c r="D4" s="4"/>
      <c r="E4" s="4" t="s">
        <v>87</v>
      </c>
      <c r="F4" s="4"/>
      <c r="G4" s="5">
        <f t="shared" ca="1" si="0"/>
        <v>691</v>
      </c>
      <c r="H4" s="5"/>
      <c r="I4" s="2">
        <f t="shared" ca="1" si="1"/>
        <v>6</v>
      </c>
      <c r="J4" s="2"/>
    </row>
    <row r="5" spans="1:10" x14ac:dyDescent="0.25">
      <c r="A5" s="4" t="s">
        <v>12</v>
      </c>
      <c r="B5" s="4"/>
      <c r="C5" s="4" t="s">
        <v>51</v>
      </c>
      <c r="D5" s="4"/>
      <c r="E5" s="4" t="s">
        <v>88</v>
      </c>
      <c r="F5" s="4"/>
      <c r="G5" s="5">
        <f t="shared" ca="1" si="0"/>
        <v>321</v>
      </c>
      <c r="H5" s="5"/>
      <c r="I5" s="2">
        <f t="shared" ca="1" si="1"/>
        <v>5.5</v>
      </c>
      <c r="J5" s="2"/>
    </row>
    <row r="6" spans="1:10" x14ac:dyDescent="0.25">
      <c r="A6" s="4" t="s">
        <v>13</v>
      </c>
      <c r="B6" s="4"/>
      <c r="C6" s="4" t="s">
        <v>52</v>
      </c>
      <c r="D6" s="4"/>
      <c r="E6" s="4" t="s">
        <v>88</v>
      </c>
      <c r="F6" s="4"/>
      <c r="G6" s="5">
        <f t="shared" ca="1" si="0"/>
        <v>957</v>
      </c>
      <c r="H6" s="5"/>
      <c r="I6" s="2">
        <f t="shared" ca="1" si="1"/>
        <v>6.5</v>
      </c>
      <c r="J6" s="2"/>
    </row>
    <row r="7" spans="1:10" x14ac:dyDescent="0.25">
      <c r="A7" s="4" t="s">
        <v>14</v>
      </c>
      <c r="B7" s="4"/>
      <c r="C7" s="4" t="s">
        <v>53</v>
      </c>
      <c r="D7" s="4"/>
      <c r="E7" s="4" t="s">
        <v>88</v>
      </c>
      <c r="F7" s="4"/>
      <c r="G7" s="5">
        <f t="shared" ca="1" si="0"/>
        <v>246</v>
      </c>
      <c r="H7" s="5"/>
      <c r="I7" s="2">
        <f t="shared" ca="1" si="1"/>
        <v>2.5</v>
      </c>
      <c r="J7" s="2"/>
    </row>
    <row r="8" spans="1:10" x14ac:dyDescent="0.25">
      <c r="A8" s="4" t="s">
        <v>15</v>
      </c>
      <c r="B8" s="4"/>
      <c r="C8" s="4" t="s">
        <v>54</v>
      </c>
      <c r="D8" s="4"/>
      <c r="E8" s="4" t="s">
        <v>89</v>
      </c>
      <c r="F8" s="4"/>
      <c r="G8" s="5">
        <f t="shared" ca="1" si="0"/>
        <v>878</v>
      </c>
      <c r="H8" s="5"/>
      <c r="I8" s="2">
        <f t="shared" ca="1" si="1"/>
        <v>3.5</v>
      </c>
      <c r="J8" s="2"/>
    </row>
    <row r="9" spans="1:10" x14ac:dyDescent="0.25">
      <c r="A9" s="4" t="s">
        <v>16</v>
      </c>
      <c r="B9" s="4"/>
      <c r="C9" s="4" t="s">
        <v>55</v>
      </c>
      <c r="D9" s="4"/>
      <c r="E9" s="4" t="s">
        <v>89</v>
      </c>
      <c r="F9" s="4"/>
      <c r="G9" s="5">
        <f t="shared" ca="1" si="0"/>
        <v>431</v>
      </c>
      <c r="H9" s="5"/>
      <c r="I9" s="2">
        <f t="shared" ca="1" si="1"/>
        <v>16.5</v>
      </c>
      <c r="J9" s="2"/>
    </row>
    <row r="10" spans="1:10" x14ac:dyDescent="0.25">
      <c r="A10" s="4" t="s">
        <v>17</v>
      </c>
      <c r="B10" s="4"/>
      <c r="C10" s="4" t="s">
        <v>56</v>
      </c>
      <c r="D10" s="4"/>
      <c r="E10" s="4" t="s">
        <v>89</v>
      </c>
      <c r="F10" s="4"/>
      <c r="G10" s="5">
        <f t="shared" ca="1" si="0"/>
        <v>123</v>
      </c>
      <c r="H10" s="5"/>
      <c r="I10" s="2">
        <f t="shared" ca="1" si="1"/>
        <v>9.5</v>
      </c>
      <c r="J10" s="2"/>
    </row>
    <row r="11" spans="1:10" x14ac:dyDescent="0.25">
      <c r="A11" s="4" t="s">
        <v>18</v>
      </c>
      <c r="B11" s="4"/>
      <c r="C11" s="4" t="s">
        <v>57</v>
      </c>
      <c r="D11" s="4"/>
      <c r="E11" s="4" t="s">
        <v>90</v>
      </c>
      <c r="F11" s="4"/>
      <c r="G11" s="5">
        <f t="shared" ca="1" si="0"/>
        <v>409</v>
      </c>
      <c r="H11" s="5"/>
      <c r="I11" s="2">
        <f t="shared" ca="1" si="1"/>
        <v>9.5</v>
      </c>
      <c r="J11" s="2"/>
    </row>
    <row r="12" spans="1:10" x14ac:dyDescent="0.25">
      <c r="A12" s="4" t="s">
        <v>19</v>
      </c>
      <c r="B12" s="4"/>
      <c r="C12" s="4" t="s">
        <v>58</v>
      </c>
      <c r="D12" s="4"/>
      <c r="E12" s="4" t="s">
        <v>90</v>
      </c>
      <c r="F12" s="4"/>
      <c r="G12" s="5">
        <f t="shared" ca="1" si="0"/>
        <v>108</v>
      </c>
      <c r="H12" s="5"/>
      <c r="I12" s="2">
        <f t="shared" ca="1" si="1"/>
        <v>9</v>
      </c>
      <c r="J12" s="2"/>
    </row>
    <row r="13" spans="1:10" x14ac:dyDescent="0.25">
      <c r="A13" s="4" t="s">
        <v>20</v>
      </c>
      <c r="B13" s="4"/>
      <c r="C13" s="4" t="s">
        <v>59</v>
      </c>
      <c r="D13" s="4"/>
      <c r="E13" s="4" t="s">
        <v>90</v>
      </c>
      <c r="F13" s="4"/>
      <c r="G13" s="5">
        <f t="shared" ca="1" si="0"/>
        <v>124</v>
      </c>
      <c r="H13" s="5"/>
      <c r="I13" s="2">
        <f t="shared" ca="1" si="1"/>
        <v>15.5</v>
      </c>
      <c r="J13" s="2"/>
    </row>
    <row r="14" spans="1:10" x14ac:dyDescent="0.25">
      <c r="A14" s="4" t="s">
        <v>21</v>
      </c>
      <c r="B14" s="4"/>
      <c r="C14" s="4" t="s">
        <v>60</v>
      </c>
      <c r="D14" s="4"/>
      <c r="E14" s="4" t="s">
        <v>90</v>
      </c>
      <c r="F14" s="4"/>
      <c r="G14" s="5">
        <f t="shared" ca="1" si="0"/>
        <v>820</v>
      </c>
      <c r="H14" s="5"/>
      <c r="I14" s="2">
        <f t="shared" ca="1" si="1"/>
        <v>11</v>
      </c>
      <c r="J14" s="2"/>
    </row>
    <row r="15" spans="1:10" x14ac:dyDescent="0.25">
      <c r="A15" s="4" t="s">
        <v>22</v>
      </c>
      <c r="B15" s="4"/>
      <c r="C15" s="4" t="s">
        <v>61</v>
      </c>
      <c r="D15" s="4"/>
      <c r="E15" s="4" t="s">
        <v>90</v>
      </c>
      <c r="F15" s="4"/>
      <c r="G15" s="5">
        <f t="shared" ca="1" si="0"/>
        <v>931</v>
      </c>
      <c r="H15" s="5"/>
      <c r="I15" s="2">
        <f t="shared" ca="1" si="1"/>
        <v>6</v>
      </c>
      <c r="J15" s="2"/>
    </row>
    <row r="16" spans="1:10" x14ac:dyDescent="0.25">
      <c r="A16" s="4" t="s">
        <v>23</v>
      </c>
      <c r="B16" s="4"/>
      <c r="C16" s="4" t="s">
        <v>62</v>
      </c>
      <c r="D16" s="4"/>
      <c r="E16" s="4" t="s">
        <v>90</v>
      </c>
      <c r="F16" s="4"/>
      <c r="G16" s="5">
        <f t="shared" ca="1" si="0"/>
        <v>155</v>
      </c>
      <c r="H16" s="5"/>
      <c r="I16" s="2">
        <f t="shared" ca="1" si="1"/>
        <v>8</v>
      </c>
      <c r="J16" s="2"/>
    </row>
    <row r="17" spans="1:10" x14ac:dyDescent="0.25">
      <c r="A17" s="4" t="s">
        <v>24</v>
      </c>
      <c r="B17" s="4"/>
      <c r="C17" s="4" t="s">
        <v>63</v>
      </c>
      <c r="D17" s="4"/>
      <c r="E17" s="4" t="s">
        <v>91</v>
      </c>
      <c r="F17" s="4"/>
      <c r="G17" s="5">
        <f t="shared" ca="1" si="0"/>
        <v>137</v>
      </c>
      <c r="H17" s="5"/>
      <c r="I17" s="2">
        <f t="shared" ca="1" si="1"/>
        <v>16.5</v>
      </c>
      <c r="J17" s="2"/>
    </row>
    <row r="18" spans="1:10" x14ac:dyDescent="0.25">
      <c r="A18" s="4" t="s">
        <v>25</v>
      </c>
      <c r="B18" s="4"/>
      <c r="C18" s="4" t="s">
        <v>64</v>
      </c>
      <c r="D18" s="4"/>
      <c r="E18" s="4" t="s">
        <v>91</v>
      </c>
      <c r="F18" s="4"/>
      <c r="G18" s="5">
        <f t="shared" ca="1" si="0"/>
        <v>392</v>
      </c>
      <c r="H18" s="5"/>
      <c r="I18" s="2">
        <f t="shared" ca="1" si="1"/>
        <v>13</v>
      </c>
      <c r="J18" s="2"/>
    </row>
    <row r="19" spans="1:10" x14ac:dyDescent="0.25">
      <c r="A19" s="4" t="s">
        <v>26</v>
      </c>
      <c r="B19" s="4"/>
      <c r="C19" s="4" t="s">
        <v>65</v>
      </c>
      <c r="D19" s="4"/>
      <c r="E19" s="4" t="s">
        <v>91</v>
      </c>
      <c r="F19" s="4"/>
      <c r="G19" s="5">
        <f t="shared" ca="1" si="0"/>
        <v>267</v>
      </c>
      <c r="H19" s="5"/>
      <c r="I19" s="2">
        <f t="shared" ca="1" si="1"/>
        <v>15.5</v>
      </c>
      <c r="J19" s="2"/>
    </row>
    <row r="20" spans="1:10" x14ac:dyDescent="0.25">
      <c r="A20" s="4" t="s">
        <v>28</v>
      </c>
      <c r="B20" s="4"/>
      <c r="C20" s="4" t="s">
        <v>66</v>
      </c>
      <c r="D20" s="4"/>
      <c r="E20" s="4" t="s">
        <v>91</v>
      </c>
      <c r="F20" s="4"/>
      <c r="G20" s="5">
        <f t="shared" ca="1" si="0"/>
        <v>79</v>
      </c>
      <c r="H20" s="5"/>
      <c r="I20" s="2">
        <f t="shared" ca="1" si="1"/>
        <v>17</v>
      </c>
      <c r="J20" s="2"/>
    </row>
    <row r="21" spans="1:10" x14ac:dyDescent="0.25">
      <c r="A21" s="4" t="s">
        <v>29</v>
      </c>
      <c r="B21" s="4"/>
      <c r="C21" s="4" t="s">
        <v>67</v>
      </c>
      <c r="D21" s="4"/>
      <c r="E21" s="4" t="s">
        <v>91</v>
      </c>
      <c r="F21" s="4"/>
      <c r="G21" s="5">
        <f t="shared" ca="1" si="0"/>
        <v>355</v>
      </c>
      <c r="H21" s="5"/>
      <c r="I21" s="2">
        <f t="shared" ca="1" si="1"/>
        <v>9</v>
      </c>
      <c r="J21" s="2"/>
    </row>
    <row r="22" spans="1:10" x14ac:dyDescent="0.25">
      <c r="A22" s="4" t="s">
        <v>27</v>
      </c>
      <c r="B22" s="4"/>
      <c r="C22" s="4" t="s">
        <v>68</v>
      </c>
      <c r="D22" s="4"/>
      <c r="E22" s="4" t="s">
        <v>91</v>
      </c>
      <c r="F22" s="4"/>
      <c r="G22" s="5">
        <f t="shared" ca="1" si="0"/>
        <v>717</v>
      </c>
      <c r="H22" s="5"/>
      <c r="I22" s="2">
        <f t="shared" ca="1" si="1"/>
        <v>4.5</v>
      </c>
      <c r="J22" s="2"/>
    </row>
    <row r="23" spans="1:10" x14ac:dyDescent="0.25">
      <c r="A23" s="4" t="s">
        <v>30</v>
      </c>
      <c r="B23" s="4"/>
      <c r="C23" s="4" t="s">
        <v>69</v>
      </c>
      <c r="D23" s="4"/>
      <c r="E23" s="4" t="s">
        <v>92</v>
      </c>
      <c r="F23" s="4"/>
      <c r="G23" s="5">
        <f t="shared" ca="1" si="0"/>
        <v>627</v>
      </c>
      <c r="H23" s="5"/>
      <c r="I23" s="2">
        <f t="shared" ca="1" si="1"/>
        <v>15</v>
      </c>
      <c r="J23" s="2"/>
    </row>
    <row r="24" spans="1:10" x14ac:dyDescent="0.25">
      <c r="A24" s="4" t="s">
        <v>31</v>
      </c>
      <c r="B24" s="4"/>
      <c r="C24" s="4" t="s">
        <v>70</v>
      </c>
      <c r="D24" s="4"/>
      <c r="E24" s="4" t="s">
        <v>92</v>
      </c>
      <c r="F24" s="4"/>
      <c r="G24" s="5">
        <f t="shared" ca="1" si="0"/>
        <v>845</v>
      </c>
      <c r="H24" s="5"/>
      <c r="I24" s="2">
        <f t="shared" ca="1" si="1"/>
        <v>4.5</v>
      </c>
      <c r="J24" s="2"/>
    </row>
    <row r="25" spans="1:10" x14ac:dyDescent="0.25">
      <c r="A25" s="4" t="s">
        <v>32</v>
      </c>
      <c r="B25" s="4"/>
      <c r="C25" s="4" t="s">
        <v>71</v>
      </c>
      <c r="D25" s="4"/>
      <c r="E25" s="4" t="s">
        <v>92</v>
      </c>
      <c r="F25" s="4"/>
      <c r="G25" s="5">
        <f t="shared" ca="1" si="0"/>
        <v>453</v>
      </c>
      <c r="H25" s="5"/>
      <c r="I25" s="2">
        <f t="shared" ca="1" si="1"/>
        <v>5</v>
      </c>
      <c r="J25" s="2"/>
    </row>
    <row r="26" spans="1:10" x14ac:dyDescent="0.25">
      <c r="A26" s="4" t="s">
        <v>33</v>
      </c>
      <c r="B26" s="4"/>
      <c r="C26" s="4" t="s">
        <v>72</v>
      </c>
      <c r="D26" s="4"/>
      <c r="E26" s="4" t="s">
        <v>92</v>
      </c>
      <c r="F26" s="4"/>
      <c r="G26" s="5">
        <f t="shared" ca="1" si="0"/>
        <v>683</v>
      </c>
      <c r="H26" s="5"/>
      <c r="I26" s="2">
        <f t="shared" ca="1" si="1"/>
        <v>16.5</v>
      </c>
      <c r="J26" s="2"/>
    </row>
    <row r="27" spans="1:10" x14ac:dyDescent="0.25">
      <c r="A27" s="4" t="s">
        <v>34</v>
      </c>
      <c r="B27" s="4"/>
      <c r="C27" s="4" t="s">
        <v>73</v>
      </c>
      <c r="D27" s="4"/>
      <c r="E27" s="4" t="s">
        <v>92</v>
      </c>
      <c r="F27" s="4"/>
      <c r="G27" s="5">
        <f t="shared" ca="1" si="0"/>
        <v>736</v>
      </c>
      <c r="H27" s="5"/>
      <c r="I27" s="2">
        <f t="shared" ca="1" si="1"/>
        <v>5</v>
      </c>
      <c r="J27" s="2"/>
    </row>
    <row r="28" spans="1:10" x14ac:dyDescent="0.25">
      <c r="A28" s="4" t="s">
        <v>35</v>
      </c>
      <c r="B28" s="4"/>
      <c r="C28" s="4" t="s">
        <v>74</v>
      </c>
      <c r="D28" s="4"/>
      <c r="E28" s="4" t="s">
        <v>92</v>
      </c>
      <c r="F28" s="4"/>
      <c r="G28" s="5">
        <f t="shared" ca="1" si="0"/>
        <v>760</v>
      </c>
      <c r="H28" s="5"/>
      <c r="I28" s="2">
        <f t="shared" ca="1" si="1"/>
        <v>7</v>
      </c>
      <c r="J28" s="2"/>
    </row>
    <row r="29" spans="1:10" x14ac:dyDescent="0.25">
      <c r="A29" s="6" t="s">
        <v>36</v>
      </c>
      <c r="B29" s="7"/>
      <c r="C29" s="4" t="s">
        <v>75</v>
      </c>
      <c r="D29" s="4"/>
      <c r="E29" s="4" t="s">
        <v>93</v>
      </c>
      <c r="F29" s="4"/>
      <c r="G29" s="5">
        <f t="shared" ca="1" si="0"/>
        <v>407</v>
      </c>
      <c r="H29" s="5"/>
      <c r="I29" s="2">
        <f t="shared" ca="1" si="1"/>
        <v>4</v>
      </c>
      <c r="J29" s="2"/>
    </row>
    <row r="30" spans="1:10" x14ac:dyDescent="0.25">
      <c r="A30" s="6" t="s">
        <v>37</v>
      </c>
      <c r="B30" s="7"/>
      <c r="C30" s="4" t="s">
        <v>76</v>
      </c>
      <c r="D30" s="4"/>
      <c r="E30" s="4" t="s">
        <v>93</v>
      </c>
      <c r="F30" s="4"/>
      <c r="G30" s="5">
        <f t="shared" ca="1" si="0"/>
        <v>807</v>
      </c>
      <c r="H30" s="5"/>
      <c r="I30" s="2">
        <f t="shared" ca="1" si="1"/>
        <v>6</v>
      </c>
      <c r="J30" s="2"/>
    </row>
    <row r="31" spans="1:10" x14ac:dyDescent="0.25">
      <c r="A31" s="6" t="s">
        <v>38</v>
      </c>
      <c r="B31" s="7"/>
      <c r="C31" s="4" t="s">
        <v>77</v>
      </c>
      <c r="D31" s="4"/>
      <c r="E31" s="4" t="s">
        <v>93</v>
      </c>
      <c r="F31" s="4"/>
      <c r="G31" s="5">
        <f t="shared" ca="1" si="0"/>
        <v>928</v>
      </c>
      <c r="H31" s="5"/>
      <c r="I31" s="2">
        <f t="shared" ca="1" si="1"/>
        <v>13</v>
      </c>
      <c r="J31" s="2"/>
    </row>
    <row r="32" spans="1:10" x14ac:dyDescent="0.25">
      <c r="A32" s="4" t="s">
        <v>39</v>
      </c>
      <c r="B32" s="4"/>
      <c r="C32" s="4" t="s">
        <v>78</v>
      </c>
      <c r="D32" s="4"/>
      <c r="E32" s="4" t="s">
        <v>94</v>
      </c>
      <c r="F32" s="4"/>
      <c r="G32" s="5">
        <f t="shared" ca="1" si="0"/>
        <v>184</v>
      </c>
      <c r="H32" s="5"/>
      <c r="I32" s="2">
        <f t="shared" ca="1" si="1"/>
        <v>9</v>
      </c>
      <c r="J32" s="2"/>
    </row>
    <row r="33" spans="1:10" x14ac:dyDescent="0.25">
      <c r="A33" s="4" t="s">
        <v>40</v>
      </c>
      <c r="B33" s="4"/>
      <c r="C33" s="4" t="s">
        <v>79</v>
      </c>
      <c r="D33" s="4"/>
      <c r="E33" s="4" t="s">
        <v>94</v>
      </c>
      <c r="F33" s="4"/>
      <c r="G33" s="5">
        <f t="shared" ca="1" si="0"/>
        <v>140</v>
      </c>
      <c r="H33" s="5"/>
      <c r="I33" s="2">
        <f t="shared" ca="1" si="1"/>
        <v>4.5</v>
      </c>
      <c r="J33" s="2"/>
    </row>
    <row r="34" spans="1:10" x14ac:dyDescent="0.25">
      <c r="A34" s="4" t="s">
        <v>41</v>
      </c>
      <c r="B34" s="4"/>
      <c r="C34" s="4" t="s">
        <v>80</v>
      </c>
      <c r="D34" s="4"/>
      <c r="E34" s="4" t="s">
        <v>94</v>
      </c>
      <c r="F34" s="4"/>
      <c r="G34" s="5">
        <f t="shared" ca="1" si="0"/>
        <v>430</v>
      </c>
      <c r="H34" s="5"/>
      <c r="I34" s="2">
        <f t="shared" ca="1" si="1"/>
        <v>2.5</v>
      </c>
      <c r="J34" s="2"/>
    </row>
    <row r="35" spans="1:10" x14ac:dyDescent="0.25">
      <c r="A35" s="4" t="s">
        <v>42</v>
      </c>
      <c r="B35" s="4"/>
      <c r="C35" s="4" t="s">
        <v>81</v>
      </c>
      <c r="D35" s="4"/>
      <c r="E35" s="4" t="s">
        <v>95</v>
      </c>
      <c r="F35" s="4"/>
      <c r="G35" s="5">
        <f t="shared" ca="1" si="0"/>
        <v>174</v>
      </c>
      <c r="H35" s="5"/>
      <c r="I35" s="2">
        <f t="shared" ca="1" si="1"/>
        <v>13</v>
      </c>
      <c r="J35" s="2"/>
    </row>
    <row r="36" spans="1:10" x14ac:dyDescent="0.25">
      <c r="A36" s="4" t="s">
        <v>43</v>
      </c>
      <c r="B36" s="4"/>
      <c r="C36" s="4" t="s">
        <v>82</v>
      </c>
      <c r="D36" s="4"/>
      <c r="E36" s="4" t="s">
        <v>95</v>
      </c>
      <c r="F36" s="4"/>
      <c r="G36" s="5">
        <f t="shared" ca="1" si="0"/>
        <v>193</v>
      </c>
      <c r="H36" s="5"/>
      <c r="I36" s="2">
        <f t="shared" ca="1" si="1"/>
        <v>4</v>
      </c>
      <c r="J36" s="2"/>
    </row>
    <row r="37" spans="1:10" x14ac:dyDescent="0.25">
      <c r="A37" s="4" t="s">
        <v>44</v>
      </c>
      <c r="B37" s="4"/>
      <c r="C37" s="4" t="s">
        <v>83</v>
      </c>
      <c r="D37" s="4"/>
      <c r="E37" s="4" t="s">
        <v>95</v>
      </c>
      <c r="F37" s="4"/>
      <c r="G37" s="5">
        <f t="shared" ca="1" si="0"/>
        <v>53</v>
      </c>
      <c r="H37" s="5"/>
      <c r="I37" s="2">
        <f t="shared" ca="1" si="1"/>
        <v>10.5</v>
      </c>
      <c r="J37" s="2"/>
    </row>
    <row r="38" spans="1:10" x14ac:dyDescent="0.25">
      <c r="A38" s="4" t="s">
        <v>45</v>
      </c>
      <c r="B38" s="4"/>
      <c r="C38" s="4" t="s">
        <v>84</v>
      </c>
      <c r="D38" s="4"/>
      <c r="E38" s="4" t="s">
        <v>96</v>
      </c>
      <c r="F38" s="4"/>
      <c r="G38" s="5">
        <f t="shared" ca="1" si="0"/>
        <v>914</v>
      </c>
      <c r="H38" s="5"/>
      <c r="I38" s="2">
        <f t="shared" ca="1" si="1"/>
        <v>4.5</v>
      </c>
      <c r="J38" s="2"/>
    </row>
    <row r="39" spans="1:10" x14ac:dyDescent="0.25">
      <c r="A39" s="4" t="s">
        <v>46</v>
      </c>
      <c r="B39" s="4"/>
      <c r="C39" s="4" t="s">
        <v>85</v>
      </c>
      <c r="D39" s="4"/>
      <c r="E39" s="4" t="s">
        <v>96</v>
      </c>
      <c r="F39" s="4"/>
      <c r="G39" s="5">
        <f t="shared" ca="1" si="0"/>
        <v>79</v>
      </c>
      <c r="H39" s="5"/>
      <c r="I39" s="2">
        <f t="shared" ca="1" si="1"/>
        <v>9</v>
      </c>
      <c r="J39" s="2"/>
    </row>
    <row r="40" spans="1:10" x14ac:dyDescent="0.25">
      <c r="A40" s="4" t="s">
        <v>47</v>
      </c>
      <c r="B40" s="4"/>
      <c r="C40" s="4" t="s">
        <v>86</v>
      </c>
      <c r="D40" s="4"/>
      <c r="E40" s="4" t="s">
        <v>96</v>
      </c>
      <c r="F40" s="4"/>
      <c r="G40" s="5">
        <f t="shared" ca="1" si="0"/>
        <v>844</v>
      </c>
      <c r="H40" s="5"/>
      <c r="I40" s="2">
        <f t="shared" ca="1" si="1"/>
        <v>5.5</v>
      </c>
      <c r="J40" s="2"/>
    </row>
  </sheetData>
  <mergeCells count="200">
    <mergeCell ref="I16:J16"/>
    <mergeCell ref="I17:J17"/>
    <mergeCell ref="I18:J18"/>
    <mergeCell ref="I19:J19"/>
    <mergeCell ref="I32:J32"/>
    <mergeCell ref="I33:J33"/>
    <mergeCell ref="I34:J34"/>
    <mergeCell ref="I35:J35"/>
    <mergeCell ref="I26:J26"/>
    <mergeCell ref="I27:J27"/>
    <mergeCell ref="I28:J28"/>
    <mergeCell ref="I29:J29"/>
    <mergeCell ref="I30:J30"/>
    <mergeCell ref="I31:J31"/>
    <mergeCell ref="I8:J8"/>
    <mergeCell ref="I9:J9"/>
    <mergeCell ref="I10:J10"/>
    <mergeCell ref="I11:J11"/>
    <mergeCell ref="I12:J12"/>
    <mergeCell ref="I13:J13"/>
    <mergeCell ref="G32:H32"/>
    <mergeCell ref="G33:H33"/>
    <mergeCell ref="G34:H34"/>
    <mergeCell ref="G19:H19"/>
    <mergeCell ref="G8:H8"/>
    <mergeCell ref="G9:H9"/>
    <mergeCell ref="G10:H10"/>
    <mergeCell ref="G11:H11"/>
    <mergeCell ref="G12:H12"/>
    <mergeCell ref="G13:H13"/>
    <mergeCell ref="I20:J20"/>
    <mergeCell ref="I21:J21"/>
    <mergeCell ref="I22:J22"/>
    <mergeCell ref="I23:J23"/>
    <mergeCell ref="I24:J24"/>
    <mergeCell ref="I25:J25"/>
    <mergeCell ref="I14:J14"/>
    <mergeCell ref="I15:J15"/>
    <mergeCell ref="G35:H35"/>
    <mergeCell ref="I2:J2"/>
    <mergeCell ref="I3:J3"/>
    <mergeCell ref="I4:J4"/>
    <mergeCell ref="I5:J5"/>
    <mergeCell ref="I6:J6"/>
    <mergeCell ref="I7:J7"/>
    <mergeCell ref="G26:H26"/>
    <mergeCell ref="G27:H27"/>
    <mergeCell ref="G28:H28"/>
    <mergeCell ref="G29:H29"/>
    <mergeCell ref="G30:H30"/>
    <mergeCell ref="G31:H31"/>
    <mergeCell ref="G20:H20"/>
    <mergeCell ref="G21:H21"/>
    <mergeCell ref="G22:H22"/>
    <mergeCell ref="G23:H23"/>
    <mergeCell ref="G24:H24"/>
    <mergeCell ref="G25:H25"/>
    <mergeCell ref="G14:H14"/>
    <mergeCell ref="G15:H15"/>
    <mergeCell ref="G16:H16"/>
    <mergeCell ref="G17:H17"/>
    <mergeCell ref="G18:H18"/>
    <mergeCell ref="G2:H2"/>
    <mergeCell ref="G3:H3"/>
    <mergeCell ref="G4:H4"/>
    <mergeCell ref="G5:H5"/>
    <mergeCell ref="G6:H6"/>
    <mergeCell ref="G7:H7"/>
    <mergeCell ref="E26:F26"/>
    <mergeCell ref="E27:F27"/>
    <mergeCell ref="E28:F28"/>
    <mergeCell ref="E20:F20"/>
    <mergeCell ref="E21:F21"/>
    <mergeCell ref="E22:F22"/>
    <mergeCell ref="E23:F23"/>
    <mergeCell ref="E24:F24"/>
    <mergeCell ref="E25:F25"/>
    <mergeCell ref="E14:F14"/>
    <mergeCell ref="E15:F15"/>
    <mergeCell ref="E9:F9"/>
    <mergeCell ref="E10:F10"/>
    <mergeCell ref="E11:F11"/>
    <mergeCell ref="E12:F12"/>
    <mergeCell ref="E13:F13"/>
    <mergeCell ref="E2:F2"/>
    <mergeCell ref="E3:F3"/>
    <mergeCell ref="E32:F32"/>
    <mergeCell ref="E33:F33"/>
    <mergeCell ref="E34:F34"/>
    <mergeCell ref="E35:F35"/>
    <mergeCell ref="E29:F29"/>
    <mergeCell ref="E30:F30"/>
    <mergeCell ref="E31:F31"/>
    <mergeCell ref="C32:D32"/>
    <mergeCell ref="C33:D33"/>
    <mergeCell ref="C34:D34"/>
    <mergeCell ref="C35:D35"/>
    <mergeCell ref="C31:D31"/>
    <mergeCell ref="E4:F4"/>
    <mergeCell ref="E5:F5"/>
    <mergeCell ref="E6:F6"/>
    <mergeCell ref="E7:F7"/>
    <mergeCell ref="C26:D26"/>
    <mergeCell ref="C27:D27"/>
    <mergeCell ref="C28:D28"/>
    <mergeCell ref="C29:D29"/>
    <mergeCell ref="C30:D30"/>
    <mergeCell ref="C20:D20"/>
    <mergeCell ref="C21:D21"/>
    <mergeCell ref="C22:D22"/>
    <mergeCell ref="C23:D23"/>
    <mergeCell ref="C24:D24"/>
    <mergeCell ref="C25:D25"/>
    <mergeCell ref="C14:D14"/>
    <mergeCell ref="C15:D15"/>
    <mergeCell ref="A25:B25"/>
    <mergeCell ref="A14:B14"/>
    <mergeCell ref="A15:B15"/>
    <mergeCell ref="C16:D16"/>
    <mergeCell ref="C17:D17"/>
    <mergeCell ref="C18:D18"/>
    <mergeCell ref="C19:D19"/>
    <mergeCell ref="C8:D8"/>
    <mergeCell ref="C9:D9"/>
    <mergeCell ref="C10:D10"/>
    <mergeCell ref="C11:D11"/>
    <mergeCell ref="C12:D12"/>
    <mergeCell ref="C13:D13"/>
    <mergeCell ref="A1:B1"/>
    <mergeCell ref="C1:D1"/>
    <mergeCell ref="E1:F1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C2:D2"/>
    <mergeCell ref="C3:D3"/>
    <mergeCell ref="C4:D4"/>
    <mergeCell ref="C5:D5"/>
    <mergeCell ref="C6:D6"/>
    <mergeCell ref="C7:D7"/>
    <mergeCell ref="E16:F16"/>
    <mergeCell ref="E17:F17"/>
    <mergeCell ref="E18:F18"/>
    <mergeCell ref="E19:F19"/>
    <mergeCell ref="E8:F8"/>
    <mergeCell ref="G40:H40"/>
    <mergeCell ref="I36:J36"/>
    <mergeCell ref="I37:J37"/>
    <mergeCell ref="A2:B2"/>
    <mergeCell ref="A3:B3"/>
    <mergeCell ref="A4:B4"/>
    <mergeCell ref="A5:B5"/>
    <mergeCell ref="A6:B6"/>
    <mergeCell ref="A7:B7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I38:J38"/>
    <mergeCell ref="I39:J39"/>
    <mergeCell ref="I40:J40"/>
    <mergeCell ref="G1:H1"/>
    <mergeCell ref="I1:J1"/>
    <mergeCell ref="A36:B36"/>
    <mergeCell ref="A37:B37"/>
    <mergeCell ref="A38:B38"/>
    <mergeCell ref="A39:B39"/>
    <mergeCell ref="A40:B40"/>
    <mergeCell ref="C36:D36"/>
    <mergeCell ref="C37:D37"/>
    <mergeCell ref="C38:D38"/>
    <mergeCell ref="C39:D39"/>
    <mergeCell ref="C40:D40"/>
    <mergeCell ref="E36:F36"/>
    <mergeCell ref="E37:F37"/>
    <mergeCell ref="E38:F38"/>
    <mergeCell ref="E39:F39"/>
    <mergeCell ref="E40:F40"/>
    <mergeCell ref="G36:H36"/>
    <mergeCell ref="G37:H37"/>
    <mergeCell ref="G38:H38"/>
    <mergeCell ref="G39:H39"/>
  </mergeCells>
  <phoneticPr fontId="2" type="noConversion"/>
  <dataValidations count="1">
    <dataValidation type="list" allowBlank="1" showInputMessage="1" showErrorMessage="1" sqref="A1:A1048576" xr:uid="{7E1EF760-A141-4A9A-8757-2F50685A20FC}">
      <formula1>"SKU"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CC09-E382-4F27-980F-EE46B8C13946}">
  <dimension ref="A1:P50"/>
  <sheetViews>
    <sheetView workbookViewId="0">
      <selection activeCell="K1" sqref="K1:L1"/>
    </sheetView>
  </sheetViews>
  <sheetFormatPr defaultRowHeight="15" x14ac:dyDescent="0.25"/>
  <cols>
    <col min="6" max="6" width="9.140625" customWidth="1"/>
    <col min="16" max="16" width="9.140625" customWidth="1"/>
  </cols>
  <sheetData>
    <row r="1" spans="1:16" x14ac:dyDescent="0.25">
      <c r="A1" s="8" t="s">
        <v>4</v>
      </c>
      <c r="B1" s="8"/>
      <c r="C1" s="8" t="s">
        <v>4</v>
      </c>
      <c r="D1" s="8"/>
      <c r="E1" s="8" t="s">
        <v>100</v>
      </c>
      <c r="F1" s="8"/>
      <c r="G1" s="8" t="s">
        <v>0</v>
      </c>
      <c r="H1" s="8"/>
      <c r="I1" s="8" t="s">
        <v>5</v>
      </c>
      <c r="J1" s="8"/>
      <c r="K1" s="8" t="s">
        <v>107</v>
      </c>
      <c r="L1" s="8"/>
      <c r="M1" s="8" t="s">
        <v>6</v>
      </c>
      <c r="N1" s="8"/>
      <c r="O1" s="8" t="s">
        <v>7</v>
      </c>
      <c r="P1" s="8"/>
    </row>
    <row r="2" spans="1:16" x14ac:dyDescent="0.25">
      <c r="A2" s="9">
        <f ca="1">TODAY()+RANDBETWEEN(-30,-25)</f>
        <v>46006</v>
      </c>
      <c r="B2" s="9"/>
      <c r="C2" s="9">
        <f ca="1">TODAY()+RANDBETWEEN(-6,1)</f>
        <v>46031</v>
      </c>
      <c r="D2" s="9"/>
      <c r="E2" s="11">
        <f ca="1">DATEDIF(A2,C2,"md")</f>
        <v>25</v>
      </c>
      <c r="F2" s="11"/>
      <c r="G2" s="10" t="str">
        <f>Produtos!A2</f>
        <v>ARZ-001</v>
      </c>
      <c r="H2" s="10"/>
      <c r="I2" s="10" t="str">
        <f>Produtos!E2</f>
        <v>Cereal</v>
      </c>
      <c r="J2" s="10"/>
      <c r="K2" s="11">
        <f ca="1">RANDBETWEEN(100,999)</f>
        <v>225</v>
      </c>
      <c r="L2" s="11"/>
      <c r="M2" s="11">
        <f ca="1">RANDBETWEEN(10,1000)</f>
        <v>54</v>
      </c>
      <c r="N2" s="11"/>
      <c r="O2" s="10">
        <f ca="1">+RANDBETWEEN(100,500)</f>
        <v>473</v>
      </c>
      <c r="P2" s="10"/>
    </row>
    <row r="3" spans="1:16" x14ac:dyDescent="0.25">
      <c r="A3" s="9">
        <f t="shared" ref="A3:A50" ca="1" si="0">TODAY()+RANDBETWEEN(-30,-25)</f>
        <v>46011</v>
      </c>
      <c r="B3" s="9"/>
      <c r="C3" s="9">
        <f t="shared" ref="C3:C50" ca="1" si="1">TODAY()+RANDBETWEEN(-6,1)</f>
        <v>46034</v>
      </c>
      <c r="D3" s="9"/>
      <c r="E3" s="11">
        <f t="shared" ref="E3:E50" ca="1" si="2">DATEDIF(A3,C3,"md")</f>
        <v>23</v>
      </c>
      <c r="F3" s="11"/>
      <c r="G3" s="10" t="str">
        <f>Produtos!A3</f>
        <v>ARZ-002</v>
      </c>
      <c r="H3" s="10"/>
      <c r="I3" s="10" t="str">
        <f>Produtos!E3</f>
        <v>Cereal</v>
      </c>
      <c r="J3" s="10"/>
      <c r="K3" s="11">
        <f t="shared" ref="K3:K50" ca="1" si="3">RANDBETWEEN(100,999)</f>
        <v>832</v>
      </c>
      <c r="L3" s="11"/>
      <c r="M3" s="11">
        <f t="shared" ref="M3:M50" ca="1" si="4">RANDBETWEEN(10,1000)</f>
        <v>481</v>
      </c>
      <c r="N3" s="11"/>
      <c r="O3" s="10">
        <f t="shared" ref="O3:O50" ca="1" si="5">+RANDBETWEEN(100,500)</f>
        <v>191</v>
      </c>
      <c r="P3" s="10"/>
    </row>
    <row r="4" spans="1:16" x14ac:dyDescent="0.25">
      <c r="A4" s="9">
        <f t="shared" ca="1" si="0"/>
        <v>46008</v>
      </c>
      <c r="B4" s="9"/>
      <c r="C4" s="9">
        <f t="shared" ca="1" si="1"/>
        <v>46031</v>
      </c>
      <c r="D4" s="9"/>
      <c r="E4" s="11">
        <f t="shared" ca="1" si="2"/>
        <v>23</v>
      </c>
      <c r="F4" s="11"/>
      <c r="G4" s="10" t="str">
        <f>Produtos!A4</f>
        <v>ARZ-003</v>
      </c>
      <c r="H4" s="10"/>
      <c r="I4" s="10" t="str">
        <f>Produtos!E4</f>
        <v>Cereal</v>
      </c>
      <c r="J4" s="10"/>
      <c r="K4" s="11">
        <f t="shared" ca="1" si="3"/>
        <v>963</v>
      </c>
      <c r="L4" s="11"/>
      <c r="M4" s="11">
        <f t="shared" ca="1" si="4"/>
        <v>968</v>
      </c>
      <c r="N4" s="11"/>
      <c r="O4" s="10">
        <f t="shared" ca="1" si="5"/>
        <v>107</v>
      </c>
      <c r="P4" s="10"/>
    </row>
    <row r="5" spans="1:16" x14ac:dyDescent="0.25">
      <c r="A5" s="9">
        <f t="shared" ca="1" si="0"/>
        <v>46007</v>
      </c>
      <c r="B5" s="9"/>
      <c r="C5" s="9">
        <f t="shared" ca="1" si="1"/>
        <v>46035</v>
      </c>
      <c r="D5" s="9"/>
      <c r="E5" s="11">
        <f t="shared" ca="1" si="2"/>
        <v>28</v>
      </c>
      <c r="F5" s="11"/>
      <c r="G5" s="10" t="str">
        <f>Produtos!A5</f>
        <v>MAC-001</v>
      </c>
      <c r="H5" s="10"/>
      <c r="I5" s="10" t="str">
        <f>Produtos!E5</f>
        <v>Massa</v>
      </c>
      <c r="J5" s="10"/>
      <c r="K5" s="11">
        <f t="shared" ca="1" si="3"/>
        <v>630</v>
      </c>
      <c r="L5" s="11"/>
      <c r="M5" s="11">
        <f t="shared" ca="1" si="4"/>
        <v>479</v>
      </c>
      <c r="N5" s="11"/>
      <c r="O5" s="10">
        <f t="shared" ca="1" si="5"/>
        <v>419</v>
      </c>
      <c r="P5" s="10"/>
    </row>
    <row r="6" spans="1:16" x14ac:dyDescent="0.25">
      <c r="A6" s="9">
        <f t="shared" ca="1" si="0"/>
        <v>46007</v>
      </c>
      <c r="B6" s="9"/>
      <c r="C6" s="9">
        <f t="shared" ca="1" si="1"/>
        <v>46033</v>
      </c>
      <c r="D6" s="9"/>
      <c r="E6" s="11">
        <f t="shared" ca="1" si="2"/>
        <v>26</v>
      </c>
      <c r="F6" s="11"/>
      <c r="G6" s="10" t="str">
        <f>Produtos!A6</f>
        <v>MAC-002</v>
      </c>
      <c r="H6" s="10"/>
      <c r="I6" s="10" t="str">
        <f>Produtos!E6</f>
        <v>Massa</v>
      </c>
      <c r="J6" s="10"/>
      <c r="K6" s="11">
        <f t="shared" ca="1" si="3"/>
        <v>828</v>
      </c>
      <c r="L6" s="11"/>
      <c r="M6" s="11">
        <f t="shared" ca="1" si="4"/>
        <v>897</v>
      </c>
      <c r="N6" s="11"/>
      <c r="O6" s="10">
        <f t="shared" ca="1" si="5"/>
        <v>129</v>
      </c>
      <c r="P6" s="10"/>
    </row>
    <row r="7" spans="1:16" x14ac:dyDescent="0.25">
      <c r="A7" s="9">
        <f t="shared" ca="1" si="0"/>
        <v>46008</v>
      </c>
      <c r="B7" s="9"/>
      <c r="C7" s="9">
        <f t="shared" ca="1" si="1"/>
        <v>46034</v>
      </c>
      <c r="D7" s="9"/>
      <c r="E7" s="11">
        <f t="shared" ca="1" si="2"/>
        <v>26</v>
      </c>
      <c r="F7" s="11"/>
      <c r="G7" s="10" t="str">
        <f>Produtos!A7</f>
        <v>MAC-003</v>
      </c>
      <c r="H7" s="10"/>
      <c r="I7" s="10" t="str">
        <f>Produtos!E7</f>
        <v>Massa</v>
      </c>
      <c r="J7" s="10"/>
      <c r="K7" s="11">
        <f t="shared" ca="1" si="3"/>
        <v>351</v>
      </c>
      <c r="L7" s="11"/>
      <c r="M7" s="11">
        <f t="shared" ca="1" si="4"/>
        <v>48</v>
      </c>
      <c r="N7" s="11"/>
      <c r="O7" s="10">
        <f t="shared" ca="1" si="5"/>
        <v>352</v>
      </c>
      <c r="P7" s="10"/>
    </row>
    <row r="8" spans="1:16" x14ac:dyDescent="0.25">
      <c r="A8" s="9">
        <f t="shared" ca="1" si="0"/>
        <v>46011</v>
      </c>
      <c r="B8" s="9"/>
      <c r="C8" s="9">
        <f t="shared" ca="1" si="1"/>
        <v>46037</v>
      </c>
      <c r="D8" s="9"/>
      <c r="E8" s="11">
        <f t="shared" ca="1" si="2"/>
        <v>26</v>
      </c>
      <c r="F8" s="11"/>
      <c r="G8" s="10" t="str">
        <f>Produtos!A8</f>
        <v>FEI-001</v>
      </c>
      <c r="H8" s="10"/>
      <c r="I8" s="10" t="str">
        <f>Produtos!E8</f>
        <v>Leguminosa</v>
      </c>
      <c r="J8" s="10"/>
      <c r="K8" s="11">
        <f t="shared" ca="1" si="3"/>
        <v>627</v>
      </c>
      <c r="L8" s="11"/>
      <c r="M8" s="11">
        <f t="shared" ca="1" si="4"/>
        <v>467</v>
      </c>
      <c r="N8" s="11"/>
      <c r="O8" s="10">
        <f t="shared" ca="1" si="5"/>
        <v>440</v>
      </c>
      <c r="P8" s="10"/>
    </row>
    <row r="9" spans="1:16" x14ac:dyDescent="0.25">
      <c r="A9" s="9">
        <f t="shared" ca="1" si="0"/>
        <v>46006</v>
      </c>
      <c r="B9" s="9"/>
      <c r="C9" s="9">
        <f t="shared" ca="1" si="1"/>
        <v>46033</v>
      </c>
      <c r="D9" s="9"/>
      <c r="E9" s="11">
        <f t="shared" ca="1" si="2"/>
        <v>27</v>
      </c>
      <c r="F9" s="11"/>
      <c r="G9" s="10" t="str">
        <f>Produtos!A9</f>
        <v>FEI-002</v>
      </c>
      <c r="H9" s="10"/>
      <c r="I9" s="10" t="str">
        <f>Produtos!E9</f>
        <v>Leguminosa</v>
      </c>
      <c r="J9" s="10"/>
      <c r="K9" s="11">
        <f t="shared" ca="1" si="3"/>
        <v>642</v>
      </c>
      <c r="L9" s="11"/>
      <c r="M9" s="11">
        <f t="shared" ca="1" si="4"/>
        <v>547</v>
      </c>
      <c r="N9" s="11"/>
      <c r="O9" s="10">
        <f t="shared" ca="1" si="5"/>
        <v>245</v>
      </c>
      <c r="P9" s="10"/>
    </row>
    <row r="10" spans="1:16" x14ac:dyDescent="0.25">
      <c r="A10" s="9">
        <f t="shared" ca="1" si="0"/>
        <v>46011</v>
      </c>
      <c r="B10" s="9"/>
      <c r="C10" s="9">
        <f t="shared" ca="1" si="1"/>
        <v>46032</v>
      </c>
      <c r="D10" s="9"/>
      <c r="E10" s="11">
        <f t="shared" ca="1" si="2"/>
        <v>21</v>
      </c>
      <c r="F10" s="11"/>
      <c r="G10" s="10" t="str">
        <f>Produtos!A10</f>
        <v>FEI-003</v>
      </c>
      <c r="H10" s="10"/>
      <c r="I10" s="10" t="str">
        <f>Produtos!E10</f>
        <v>Leguminosa</v>
      </c>
      <c r="J10" s="10"/>
      <c r="K10" s="11">
        <f t="shared" ca="1" si="3"/>
        <v>452</v>
      </c>
      <c r="L10" s="11"/>
      <c r="M10" s="11">
        <f t="shared" ca="1" si="4"/>
        <v>445</v>
      </c>
      <c r="N10" s="11"/>
      <c r="O10" s="10">
        <f t="shared" ca="1" si="5"/>
        <v>499</v>
      </c>
      <c r="P10" s="10"/>
    </row>
    <row r="11" spans="1:16" x14ac:dyDescent="0.25">
      <c r="A11" s="9">
        <f t="shared" ca="1" si="0"/>
        <v>46007</v>
      </c>
      <c r="B11" s="9"/>
      <c r="C11" s="9">
        <f t="shared" ca="1" si="1"/>
        <v>46035</v>
      </c>
      <c r="D11" s="9"/>
      <c r="E11" s="11">
        <f t="shared" ca="1" si="2"/>
        <v>28</v>
      </c>
      <c r="F11" s="11"/>
      <c r="G11" s="10" t="str">
        <f>Produtos!A11</f>
        <v>CX-CREM-LEITE-001</v>
      </c>
      <c r="H11" s="10"/>
      <c r="I11" s="10" t="str">
        <f>Produtos!E11</f>
        <v xml:space="preserve"> Laticínio</v>
      </c>
      <c r="J11" s="10"/>
      <c r="K11" s="11">
        <f t="shared" ca="1" si="3"/>
        <v>445</v>
      </c>
      <c r="L11" s="11"/>
      <c r="M11" s="11">
        <f t="shared" ca="1" si="4"/>
        <v>255</v>
      </c>
      <c r="N11" s="11"/>
      <c r="O11" s="10">
        <f t="shared" ca="1" si="5"/>
        <v>198</v>
      </c>
      <c r="P11" s="10"/>
    </row>
    <row r="12" spans="1:16" x14ac:dyDescent="0.25">
      <c r="A12" s="9">
        <f t="shared" ca="1" si="0"/>
        <v>46008</v>
      </c>
      <c r="B12" s="9"/>
      <c r="C12" s="9">
        <f t="shared" ca="1" si="1"/>
        <v>46033</v>
      </c>
      <c r="D12" s="9"/>
      <c r="E12" s="11">
        <f t="shared" ca="1" si="2"/>
        <v>25</v>
      </c>
      <c r="F12" s="11"/>
      <c r="G12" s="10" t="str">
        <f>Produtos!A12</f>
        <v>CX-CREM-LEITE-002</v>
      </c>
      <c r="H12" s="10"/>
      <c r="I12" s="10" t="str">
        <f>Produtos!E12</f>
        <v xml:space="preserve"> Laticínio</v>
      </c>
      <c r="J12" s="10"/>
      <c r="K12" s="11">
        <f t="shared" ca="1" si="3"/>
        <v>336</v>
      </c>
      <c r="L12" s="11"/>
      <c r="M12" s="11">
        <f t="shared" ca="1" si="4"/>
        <v>978</v>
      </c>
      <c r="N12" s="11"/>
      <c r="O12" s="10">
        <f t="shared" ca="1" si="5"/>
        <v>219</v>
      </c>
      <c r="P12" s="10"/>
    </row>
    <row r="13" spans="1:16" x14ac:dyDescent="0.25">
      <c r="A13" s="9">
        <f t="shared" ca="1" si="0"/>
        <v>46008</v>
      </c>
      <c r="B13" s="9"/>
      <c r="C13" s="9">
        <f t="shared" ca="1" si="1"/>
        <v>46034</v>
      </c>
      <c r="D13" s="9"/>
      <c r="E13" s="11">
        <f t="shared" ca="1" si="2"/>
        <v>26</v>
      </c>
      <c r="F13" s="11"/>
      <c r="G13" s="10" t="str">
        <f>Produtos!A13</f>
        <v>CX-CREM-LEITE-003</v>
      </c>
      <c r="H13" s="10"/>
      <c r="I13" s="10" t="str">
        <f>Produtos!E13</f>
        <v xml:space="preserve"> Laticínio</v>
      </c>
      <c r="J13" s="10"/>
      <c r="K13" s="11">
        <f t="shared" ca="1" si="3"/>
        <v>768</v>
      </c>
      <c r="L13" s="11"/>
      <c r="M13" s="11">
        <f t="shared" ca="1" si="4"/>
        <v>894</v>
      </c>
      <c r="N13" s="11"/>
      <c r="O13" s="10">
        <f t="shared" ca="1" si="5"/>
        <v>277</v>
      </c>
      <c r="P13" s="10"/>
    </row>
    <row r="14" spans="1:16" x14ac:dyDescent="0.25">
      <c r="A14" s="9">
        <f t="shared" ca="1" si="0"/>
        <v>46010</v>
      </c>
      <c r="B14" s="9"/>
      <c r="C14" s="9">
        <f t="shared" ca="1" si="1"/>
        <v>46036</v>
      </c>
      <c r="D14" s="9"/>
      <c r="E14" s="11">
        <f t="shared" ca="1" si="2"/>
        <v>26</v>
      </c>
      <c r="F14" s="11"/>
      <c r="G14" s="10" t="str">
        <f>Produtos!A14</f>
        <v>LT-CREM-LEITE-001</v>
      </c>
      <c r="H14" s="10"/>
      <c r="I14" s="10" t="str">
        <f>Produtos!E14</f>
        <v xml:space="preserve"> Laticínio</v>
      </c>
      <c r="J14" s="10"/>
      <c r="K14" s="11">
        <f t="shared" ca="1" si="3"/>
        <v>310</v>
      </c>
      <c r="L14" s="11"/>
      <c r="M14" s="11">
        <f t="shared" ca="1" si="4"/>
        <v>978</v>
      </c>
      <c r="N14" s="11"/>
      <c r="O14" s="10">
        <f t="shared" ca="1" si="5"/>
        <v>345</v>
      </c>
      <c r="P14" s="10"/>
    </row>
    <row r="15" spans="1:16" x14ac:dyDescent="0.25">
      <c r="A15" s="9">
        <f t="shared" ca="1" si="0"/>
        <v>46009</v>
      </c>
      <c r="B15" s="9"/>
      <c r="C15" s="9">
        <f t="shared" ca="1" si="1"/>
        <v>46032</v>
      </c>
      <c r="D15" s="9"/>
      <c r="E15" s="11">
        <f t="shared" ca="1" si="2"/>
        <v>23</v>
      </c>
      <c r="F15" s="11"/>
      <c r="G15" s="10" t="str">
        <f>Produtos!A15</f>
        <v>LT-CREM-LEITE-002</v>
      </c>
      <c r="H15" s="10"/>
      <c r="I15" s="10" t="str">
        <f>Produtos!E15</f>
        <v xml:space="preserve"> Laticínio</v>
      </c>
      <c r="J15" s="10"/>
      <c r="K15" s="11">
        <f t="shared" ca="1" si="3"/>
        <v>838</v>
      </c>
      <c r="L15" s="11"/>
      <c r="M15" s="11">
        <f t="shared" ca="1" si="4"/>
        <v>141</v>
      </c>
      <c r="N15" s="11"/>
      <c r="O15" s="10">
        <f t="shared" ca="1" si="5"/>
        <v>234</v>
      </c>
      <c r="P15" s="10"/>
    </row>
    <row r="16" spans="1:16" x14ac:dyDescent="0.25">
      <c r="A16" s="9">
        <f t="shared" ca="1" si="0"/>
        <v>46009</v>
      </c>
      <c r="B16" s="9"/>
      <c r="C16" s="9">
        <f t="shared" ca="1" si="1"/>
        <v>46031</v>
      </c>
      <c r="D16" s="9"/>
      <c r="E16" s="11">
        <f t="shared" ca="1" si="2"/>
        <v>22</v>
      </c>
      <c r="F16" s="11"/>
      <c r="G16" s="10" t="str">
        <f>Produtos!A16</f>
        <v>LT-CREM-LEITE-003</v>
      </c>
      <c r="H16" s="10"/>
      <c r="I16" s="10" t="str">
        <f>Produtos!E16</f>
        <v xml:space="preserve"> Laticínio</v>
      </c>
      <c r="J16" s="10"/>
      <c r="K16" s="11">
        <f t="shared" ca="1" si="3"/>
        <v>881</v>
      </c>
      <c r="L16" s="11"/>
      <c r="M16" s="11">
        <f t="shared" ca="1" si="4"/>
        <v>427</v>
      </c>
      <c r="N16" s="11"/>
      <c r="O16" s="10">
        <f t="shared" ca="1" si="5"/>
        <v>232</v>
      </c>
      <c r="P16" s="10"/>
    </row>
    <row r="17" spans="1:16" x14ac:dyDescent="0.25">
      <c r="A17" s="9">
        <f t="shared" ca="1" si="0"/>
        <v>46011</v>
      </c>
      <c r="B17" s="9"/>
      <c r="C17" s="9">
        <f t="shared" ca="1" si="1"/>
        <v>46037</v>
      </c>
      <c r="D17" s="9"/>
      <c r="E17" s="11">
        <f t="shared" ca="1" si="2"/>
        <v>26</v>
      </c>
      <c r="F17" s="11"/>
      <c r="G17" s="10" t="str">
        <f>Produtos!A17</f>
        <v>CX-LEITE-COND-001</v>
      </c>
      <c r="H17" s="10"/>
      <c r="I17" s="10" t="str">
        <f>Produtos!E17</f>
        <v>Produtos lácteos</v>
      </c>
      <c r="J17" s="10"/>
      <c r="K17" s="11">
        <f t="shared" ca="1" si="3"/>
        <v>898</v>
      </c>
      <c r="L17" s="11"/>
      <c r="M17" s="11">
        <f t="shared" ca="1" si="4"/>
        <v>393</v>
      </c>
      <c r="N17" s="11"/>
      <c r="O17" s="10">
        <f t="shared" ca="1" si="5"/>
        <v>288</v>
      </c>
      <c r="P17" s="10"/>
    </row>
    <row r="18" spans="1:16" x14ac:dyDescent="0.25">
      <c r="A18" s="9">
        <f t="shared" ca="1" si="0"/>
        <v>46007</v>
      </c>
      <c r="B18" s="9"/>
      <c r="C18" s="9">
        <f t="shared" ca="1" si="1"/>
        <v>46036</v>
      </c>
      <c r="D18" s="9"/>
      <c r="E18" s="11">
        <f t="shared" ca="1" si="2"/>
        <v>29</v>
      </c>
      <c r="F18" s="11"/>
      <c r="G18" s="10" t="str">
        <f>Produtos!A18</f>
        <v>CX-LEITE-COND-002</v>
      </c>
      <c r="H18" s="10"/>
      <c r="I18" s="10" t="str">
        <f>Produtos!E18</f>
        <v>Produtos lácteos</v>
      </c>
      <c r="J18" s="10"/>
      <c r="K18" s="11">
        <f t="shared" ca="1" si="3"/>
        <v>536</v>
      </c>
      <c r="L18" s="11"/>
      <c r="M18" s="11">
        <f t="shared" ca="1" si="4"/>
        <v>490</v>
      </c>
      <c r="N18" s="11"/>
      <c r="O18" s="10">
        <f t="shared" ca="1" si="5"/>
        <v>465</v>
      </c>
      <c r="P18" s="10"/>
    </row>
    <row r="19" spans="1:16" x14ac:dyDescent="0.25">
      <c r="A19" s="9">
        <f t="shared" ca="1" si="0"/>
        <v>46006</v>
      </c>
      <c r="B19" s="9"/>
      <c r="C19" s="9">
        <f t="shared" ca="1" si="1"/>
        <v>46035</v>
      </c>
      <c r="D19" s="9"/>
      <c r="E19" s="11">
        <f t="shared" ca="1" si="2"/>
        <v>29</v>
      </c>
      <c r="F19" s="11"/>
      <c r="G19" s="10" t="str">
        <f>Produtos!A19</f>
        <v>CX-LEITE-COND-003</v>
      </c>
      <c r="H19" s="10"/>
      <c r="I19" s="10" t="str">
        <f>Produtos!E19</f>
        <v>Produtos lácteos</v>
      </c>
      <c r="J19" s="10"/>
      <c r="K19" s="11">
        <f t="shared" ca="1" si="3"/>
        <v>268</v>
      </c>
      <c r="L19" s="11"/>
      <c r="M19" s="11">
        <f t="shared" ca="1" si="4"/>
        <v>733</v>
      </c>
      <c r="N19" s="11"/>
      <c r="O19" s="10">
        <f t="shared" ca="1" si="5"/>
        <v>365</v>
      </c>
      <c r="P19" s="10"/>
    </row>
    <row r="20" spans="1:16" x14ac:dyDescent="0.25">
      <c r="A20" s="9">
        <f t="shared" ca="1" si="0"/>
        <v>46009</v>
      </c>
      <c r="B20" s="9"/>
      <c r="C20" s="9">
        <f t="shared" ca="1" si="1"/>
        <v>46032</v>
      </c>
      <c r="D20" s="9"/>
      <c r="E20" s="11">
        <f t="shared" ca="1" si="2"/>
        <v>23</v>
      </c>
      <c r="F20" s="11"/>
      <c r="G20" s="10" t="str">
        <f>Produtos!A20</f>
        <v>LT-LEITE-COND-001</v>
      </c>
      <c r="H20" s="10"/>
      <c r="I20" s="10" t="str">
        <f>Produtos!E20</f>
        <v>Produtos lácteos</v>
      </c>
      <c r="J20" s="10"/>
      <c r="K20" s="11">
        <f t="shared" ca="1" si="3"/>
        <v>109</v>
      </c>
      <c r="L20" s="11"/>
      <c r="M20" s="11">
        <f t="shared" ca="1" si="4"/>
        <v>284</v>
      </c>
      <c r="N20" s="11"/>
      <c r="O20" s="10">
        <f t="shared" ca="1" si="5"/>
        <v>112</v>
      </c>
      <c r="P20" s="10"/>
    </row>
    <row r="21" spans="1:16" x14ac:dyDescent="0.25">
      <c r="A21" s="9">
        <f t="shared" ca="1" si="0"/>
        <v>46006</v>
      </c>
      <c r="B21" s="9"/>
      <c r="C21" s="9">
        <f t="shared" ca="1" si="1"/>
        <v>46031</v>
      </c>
      <c r="D21" s="9"/>
      <c r="E21" s="11">
        <f t="shared" ca="1" si="2"/>
        <v>25</v>
      </c>
      <c r="F21" s="11"/>
      <c r="G21" s="10" t="str">
        <f>Produtos!A21</f>
        <v>LT-LEITE-COND-002</v>
      </c>
      <c r="H21" s="10"/>
      <c r="I21" s="10" t="str">
        <f>Produtos!E21</f>
        <v>Produtos lácteos</v>
      </c>
      <c r="J21" s="10"/>
      <c r="K21" s="11">
        <f t="shared" ca="1" si="3"/>
        <v>364</v>
      </c>
      <c r="L21" s="11"/>
      <c r="M21" s="11">
        <f t="shared" ca="1" si="4"/>
        <v>427</v>
      </c>
      <c r="N21" s="11"/>
      <c r="O21" s="10">
        <f t="shared" ca="1" si="5"/>
        <v>137</v>
      </c>
      <c r="P21" s="10"/>
    </row>
    <row r="22" spans="1:16" x14ac:dyDescent="0.25">
      <c r="A22" s="9">
        <f t="shared" ca="1" si="0"/>
        <v>46009</v>
      </c>
      <c r="B22" s="9"/>
      <c r="C22" s="9">
        <f t="shared" ca="1" si="1"/>
        <v>46033</v>
      </c>
      <c r="D22" s="9"/>
      <c r="E22" s="11">
        <f t="shared" ca="1" si="2"/>
        <v>24</v>
      </c>
      <c r="F22" s="11"/>
      <c r="G22" s="10" t="str">
        <f>Produtos!A22</f>
        <v>LT-LEITE-COND-003</v>
      </c>
      <c r="H22" s="10"/>
      <c r="I22" s="10" t="str">
        <f>Produtos!E22</f>
        <v>Produtos lácteos</v>
      </c>
      <c r="J22" s="10"/>
      <c r="K22" s="11">
        <f t="shared" ca="1" si="3"/>
        <v>897</v>
      </c>
      <c r="L22" s="11"/>
      <c r="M22" s="11">
        <f t="shared" ca="1" si="4"/>
        <v>550</v>
      </c>
      <c r="N22" s="11"/>
      <c r="O22" s="10">
        <f t="shared" ca="1" si="5"/>
        <v>376</v>
      </c>
      <c r="P22" s="10"/>
    </row>
    <row r="23" spans="1:16" x14ac:dyDescent="0.25">
      <c r="A23" s="9">
        <f t="shared" ca="1" si="0"/>
        <v>46008</v>
      </c>
      <c r="B23" s="9"/>
      <c r="C23" s="9">
        <f t="shared" ca="1" si="1"/>
        <v>46030</v>
      </c>
      <c r="D23" s="9"/>
      <c r="E23" s="11">
        <f t="shared" ca="1" si="2"/>
        <v>22</v>
      </c>
      <c r="F23" s="11"/>
      <c r="G23" s="10" t="str">
        <f>Produtos!A23</f>
        <v>PT-FRANG-001</v>
      </c>
      <c r="H23" s="10"/>
      <c r="I23" s="10" t="str">
        <f>Produtos!E23</f>
        <v>Carnes brancas</v>
      </c>
      <c r="J23" s="10"/>
      <c r="K23" s="11">
        <f t="shared" ca="1" si="3"/>
        <v>433</v>
      </c>
      <c r="L23" s="11"/>
      <c r="M23" s="11">
        <f t="shared" ca="1" si="4"/>
        <v>680</v>
      </c>
      <c r="N23" s="11"/>
      <c r="O23" s="10">
        <f t="shared" ca="1" si="5"/>
        <v>133</v>
      </c>
      <c r="P23" s="10"/>
    </row>
    <row r="24" spans="1:16" x14ac:dyDescent="0.25">
      <c r="A24" s="9">
        <f t="shared" ca="1" si="0"/>
        <v>46008</v>
      </c>
      <c r="B24" s="9"/>
      <c r="C24" s="9">
        <f t="shared" ca="1" si="1"/>
        <v>46037</v>
      </c>
      <c r="D24" s="9"/>
      <c r="E24" s="11">
        <f t="shared" ca="1" si="2"/>
        <v>29</v>
      </c>
      <c r="F24" s="11"/>
      <c r="G24" s="10" t="str">
        <f>Produtos!A24</f>
        <v>PT-FRANG-002</v>
      </c>
      <c r="H24" s="10"/>
      <c r="I24" s="10" t="str">
        <f>Produtos!E24</f>
        <v>Carnes brancas</v>
      </c>
      <c r="J24" s="10"/>
      <c r="K24" s="11">
        <f t="shared" ca="1" si="3"/>
        <v>150</v>
      </c>
      <c r="L24" s="11"/>
      <c r="M24" s="11">
        <f t="shared" ca="1" si="4"/>
        <v>858</v>
      </c>
      <c r="N24" s="11"/>
      <c r="O24" s="10">
        <f t="shared" ca="1" si="5"/>
        <v>279</v>
      </c>
      <c r="P24" s="10"/>
    </row>
    <row r="25" spans="1:16" x14ac:dyDescent="0.25">
      <c r="A25" s="9">
        <f t="shared" ca="1" si="0"/>
        <v>46008</v>
      </c>
      <c r="B25" s="9"/>
      <c r="C25" s="9">
        <f t="shared" ca="1" si="1"/>
        <v>46031</v>
      </c>
      <c r="D25" s="9"/>
      <c r="E25" s="11">
        <f t="shared" ca="1" si="2"/>
        <v>23</v>
      </c>
      <c r="F25" s="11"/>
      <c r="G25" s="10" t="str">
        <f>Produtos!A25</f>
        <v>PT-FRANG-003</v>
      </c>
      <c r="H25" s="10"/>
      <c r="I25" s="10" t="str">
        <f>Produtos!E25</f>
        <v>Carnes brancas</v>
      </c>
      <c r="J25" s="10"/>
      <c r="K25" s="11">
        <f t="shared" ca="1" si="3"/>
        <v>810</v>
      </c>
      <c r="L25" s="11"/>
      <c r="M25" s="11">
        <f t="shared" ca="1" si="4"/>
        <v>119</v>
      </c>
      <c r="N25" s="11"/>
      <c r="O25" s="10">
        <f t="shared" ca="1" si="5"/>
        <v>165</v>
      </c>
      <c r="P25" s="10"/>
    </row>
    <row r="26" spans="1:16" x14ac:dyDescent="0.25">
      <c r="A26" s="9">
        <f t="shared" ca="1" si="0"/>
        <v>46007</v>
      </c>
      <c r="B26" s="9"/>
      <c r="C26" s="9">
        <f t="shared" ca="1" si="1"/>
        <v>46035</v>
      </c>
      <c r="D26" s="9"/>
      <c r="E26" s="11">
        <f t="shared" ca="1" si="2"/>
        <v>28</v>
      </c>
      <c r="F26" s="11"/>
      <c r="G26" s="10" t="str">
        <f>Produtos!A26</f>
        <v>COX-FRANG-001</v>
      </c>
      <c r="H26" s="10"/>
      <c r="I26" s="10" t="str">
        <f>Produtos!E26</f>
        <v>Carnes brancas</v>
      </c>
      <c r="J26" s="10"/>
      <c r="K26" s="11">
        <f t="shared" ca="1" si="3"/>
        <v>374</v>
      </c>
      <c r="L26" s="11"/>
      <c r="M26" s="11">
        <f ca="1">RANDBETWEEN(10,1000)</f>
        <v>520</v>
      </c>
      <c r="N26" s="11"/>
      <c r="O26" s="10">
        <f t="shared" ca="1" si="5"/>
        <v>325</v>
      </c>
      <c r="P26" s="10"/>
    </row>
    <row r="27" spans="1:16" x14ac:dyDescent="0.25">
      <c r="A27" s="9">
        <f t="shared" ca="1" si="0"/>
        <v>46010</v>
      </c>
      <c r="B27" s="9"/>
      <c r="C27" s="9">
        <f t="shared" ca="1" si="1"/>
        <v>46033</v>
      </c>
      <c r="D27" s="9"/>
      <c r="E27" s="11">
        <f t="shared" ca="1" si="2"/>
        <v>23</v>
      </c>
      <c r="F27" s="11"/>
      <c r="G27" s="10" t="str">
        <f>Produtos!A27</f>
        <v>COX-FRANG-002</v>
      </c>
      <c r="H27" s="10"/>
      <c r="I27" s="10" t="str">
        <f>Produtos!E27</f>
        <v>Carnes brancas</v>
      </c>
      <c r="J27" s="10"/>
      <c r="K27" s="11">
        <f t="shared" ca="1" si="3"/>
        <v>986</v>
      </c>
      <c r="L27" s="11"/>
      <c r="M27" s="11">
        <f t="shared" ca="1" si="4"/>
        <v>176</v>
      </c>
      <c r="N27" s="11"/>
      <c r="O27" s="10">
        <f t="shared" ca="1" si="5"/>
        <v>170</v>
      </c>
      <c r="P27" s="10"/>
    </row>
    <row r="28" spans="1:16" x14ac:dyDescent="0.25">
      <c r="A28" s="9">
        <f t="shared" ca="1" si="0"/>
        <v>46011</v>
      </c>
      <c r="B28" s="9"/>
      <c r="C28" s="9">
        <f t="shared" ca="1" si="1"/>
        <v>46035</v>
      </c>
      <c r="D28" s="9"/>
      <c r="E28" s="11">
        <f t="shared" ca="1" si="2"/>
        <v>24</v>
      </c>
      <c r="F28" s="11"/>
      <c r="G28" s="10" t="str">
        <f>Produtos!A28</f>
        <v>COX-FRANG-003</v>
      </c>
      <c r="H28" s="10"/>
      <c r="I28" s="10" t="str">
        <f>Produtos!E28</f>
        <v>Carnes brancas</v>
      </c>
      <c r="J28" s="10"/>
      <c r="K28" s="11">
        <f t="shared" ca="1" si="3"/>
        <v>720</v>
      </c>
      <c r="L28" s="11"/>
      <c r="M28" s="11">
        <f t="shared" ca="1" si="4"/>
        <v>817</v>
      </c>
      <c r="N28" s="11"/>
      <c r="O28" s="10">
        <f t="shared" ca="1" si="5"/>
        <v>474</v>
      </c>
      <c r="P28" s="10"/>
    </row>
    <row r="29" spans="1:16" x14ac:dyDescent="0.25">
      <c r="A29" s="9">
        <f t="shared" ca="1" si="0"/>
        <v>46011</v>
      </c>
      <c r="B29" s="9"/>
      <c r="C29" s="9">
        <f t="shared" ca="1" si="1"/>
        <v>46033</v>
      </c>
      <c r="D29" s="9"/>
      <c r="E29" s="11">
        <f t="shared" ca="1" si="2"/>
        <v>22</v>
      </c>
      <c r="F29" s="11"/>
      <c r="G29" s="10" t="str">
        <f>Produtos!A29</f>
        <v>REFRIG-001</v>
      </c>
      <c r="H29" s="10"/>
      <c r="I29" s="10" t="str">
        <f>Produtos!E29</f>
        <v>Bebidas doces e gaseificadas</v>
      </c>
      <c r="J29" s="10"/>
      <c r="K29" s="11">
        <f t="shared" ca="1" si="3"/>
        <v>178</v>
      </c>
      <c r="L29" s="11"/>
      <c r="M29" s="11">
        <f t="shared" ca="1" si="4"/>
        <v>832</v>
      </c>
      <c r="N29" s="11"/>
      <c r="O29" s="10">
        <f t="shared" ca="1" si="5"/>
        <v>259</v>
      </c>
      <c r="P29" s="10"/>
    </row>
    <row r="30" spans="1:16" x14ac:dyDescent="0.25">
      <c r="A30" s="9">
        <f t="shared" ca="1" si="0"/>
        <v>46007</v>
      </c>
      <c r="B30" s="9"/>
      <c r="C30" s="9">
        <f t="shared" ca="1" si="1"/>
        <v>46034</v>
      </c>
      <c r="D30" s="9"/>
      <c r="E30" s="11">
        <f t="shared" ca="1" si="2"/>
        <v>27</v>
      </c>
      <c r="F30" s="11"/>
      <c r="G30" s="10" t="str">
        <f>Produtos!A30</f>
        <v>REFRIG-002</v>
      </c>
      <c r="H30" s="10"/>
      <c r="I30" s="10" t="str">
        <f>Produtos!E30</f>
        <v>Bebidas doces e gaseificadas</v>
      </c>
      <c r="J30" s="10"/>
      <c r="K30" s="11">
        <f t="shared" ca="1" si="3"/>
        <v>642</v>
      </c>
      <c r="L30" s="11"/>
      <c r="M30" s="11">
        <f t="shared" ca="1" si="4"/>
        <v>235</v>
      </c>
      <c r="N30" s="11"/>
      <c r="O30" s="10">
        <f t="shared" ca="1" si="5"/>
        <v>415</v>
      </c>
      <c r="P30" s="10"/>
    </row>
    <row r="31" spans="1:16" x14ac:dyDescent="0.25">
      <c r="A31" s="9">
        <f t="shared" ca="1" si="0"/>
        <v>46011</v>
      </c>
      <c r="B31" s="9"/>
      <c r="C31" s="9">
        <f t="shared" ca="1" si="1"/>
        <v>46036</v>
      </c>
      <c r="D31" s="9"/>
      <c r="E31" s="11">
        <f t="shared" ca="1" si="2"/>
        <v>25</v>
      </c>
      <c r="F31" s="11"/>
      <c r="G31" s="10" t="str">
        <f>Produtos!A31</f>
        <v>REFRIG-003</v>
      </c>
      <c r="H31" s="10"/>
      <c r="I31" s="10" t="str">
        <f>Produtos!E31</f>
        <v>Bebidas doces e gaseificadas</v>
      </c>
      <c r="J31" s="10"/>
      <c r="K31" s="11">
        <f t="shared" ca="1" si="3"/>
        <v>445</v>
      </c>
      <c r="L31" s="11"/>
      <c r="M31" s="11">
        <f t="shared" ca="1" si="4"/>
        <v>289</v>
      </c>
      <c r="N31" s="11"/>
      <c r="O31" s="10">
        <f t="shared" ca="1" si="5"/>
        <v>105</v>
      </c>
      <c r="P31" s="10"/>
    </row>
    <row r="32" spans="1:16" x14ac:dyDescent="0.25">
      <c r="A32" s="9">
        <f t="shared" ca="1" si="0"/>
        <v>46010</v>
      </c>
      <c r="B32" s="9"/>
      <c r="C32" s="9">
        <f t="shared" ca="1" si="1"/>
        <v>46033</v>
      </c>
      <c r="D32" s="9"/>
      <c r="E32" s="11">
        <f t="shared" ca="1" si="2"/>
        <v>23</v>
      </c>
      <c r="F32" s="11"/>
      <c r="G32" s="10" t="str">
        <f>Produtos!A32</f>
        <v>TEMP-001</v>
      </c>
      <c r="H32" s="10"/>
      <c r="I32" s="10" t="str">
        <f>Produtos!E32</f>
        <v>Ervas e Especiarias</v>
      </c>
      <c r="J32" s="10"/>
      <c r="K32" s="11">
        <f t="shared" ca="1" si="3"/>
        <v>578</v>
      </c>
      <c r="L32" s="11"/>
      <c r="M32" s="11">
        <f t="shared" ca="1" si="4"/>
        <v>857</v>
      </c>
      <c r="N32" s="11"/>
      <c r="O32" s="10">
        <f t="shared" ca="1" si="5"/>
        <v>237</v>
      </c>
      <c r="P32" s="10"/>
    </row>
    <row r="33" spans="1:16" x14ac:dyDescent="0.25">
      <c r="A33" s="9">
        <f t="shared" ca="1" si="0"/>
        <v>46006</v>
      </c>
      <c r="B33" s="9"/>
      <c r="C33" s="9">
        <f t="shared" ca="1" si="1"/>
        <v>46036</v>
      </c>
      <c r="D33" s="9"/>
      <c r="E33" s="11">
        <f t="shared" ca="1" si="2"/>
        <v>30</v>
      </c>
      <c r="F33" s="11"/>
      <c r="G33" s="10" t="str">
        <f>Produtos!A33</f>
        <v>TEMP-002</v>
      </c>
      <c r="H33" s="10"/>
      <c r="I33" s="10" t="str">
        <f>Produtos!E33</f>
        <v>Ervas e Especiarias</v>
      </c>
      <c r="J33" s="10"/>
      <c r="K33" s="11">
        <f t="shared" ca="1" si="3"/>
        <v>689</v>
      </c>
      <c r="L33" s="11"/>
      <c r="M33" s="11">
        <f t="shared" ca="1" si="4"/>
        <v>398</v>
      </c>
      <c r="N33" s="11"/>
      <c r="O33" s="10">
        <f t="shared" ca="1" si="5"/>
        <v>269</v>
      </c>
      <c r="P33" s="10"/>
    </row>
    <row r="34" spans="1:16" x14ac:dyDescent="0.25">
      <c r="A34" s="9">
        <f t="shared" ca="1" si="0"/>
        <v>46006</v>
      </c>
      <c r="B34" s="9"/>
      <c r="C34" s="9">
        <f t="shared" ca="1" si="1"/>
        <v>46033</v>
      </c>
      <c r="D34" s="9"/>
      <c r="E34" s="11">
        <f t="shared" ca="1" si="2"/>
        <v>27</v>
      </c>
      <c r="F34" s="11"/>
      <c r="G34" s="10" t="str">
        <f>Produtos!A34</f>
        <v>TEMP-003</v>
      </c>
      <c r="H34" s="10"/>
      <c r="I34" s="10" t="str">
        <f>Produtos!E34</f>
        <v>Ervas e Especiarias</v>
      </c>
      <c r="J34" s="10"/>
      <c r="K34" s="11">
        <f t="shared" ca="1" si="3"/>
        <v>599</v>
      </c>
      <c r="L34" s="11"/>
      <c r="M34" s="11">
        <f t="shared" ca="1" si="4"/>
        <v>168</v>
      </c>
      <c r="N34" s="11"/>
      <c r="O34" s="10">
        <f t="shared" ca="1" si="5"/>
        <v>399</v>
      </c>
      <c r="P34" s="10"/>
    </row>
    <row r="35" spans="1:16" x14ac:dyDescent="0.25">
      <c r="A35" s="9">
        <f t="shared" ca="1" si="0"/>
        <v>46006</v>
      </c>
      <c r="B35" s="9"/>
      <c r="C35" s="9">
        <f t="shared" ca="1" si="1"/>
        <v>46036</v>
      </c>
      <c r="D35" s="9"/>
      <c r="E35" s="11">
        <f t="shared" ca="1" si="2"/>
        <v>30</v>
      </c>
      <c r="F35" s="11"/>
      <c r="G35" s="10" t="str">
        <f>Produtos!A35</f>
        <v>BOLACH-001</v>
      </c>
      <c r="H35" s="10"/>
      <c r="I35" s="10" t="str">
        <f>Produtos!E35</f>
        <v>Bolachas Laminadas</v>
      </c>
      <c r="J35" s="10"/>
      <c r="K35" s="11">
        <f t="shared" ca="1" si="3"/>
        <v>220</v>
      </c>
      <c r="L35" s="11"/>
      <c r="M35" s="11">
        <f t="shared" ca="1" si="4"/>
        <v>977</v>
      </c>
      <c r="N35" s="11"/>
      <c r="O35" s="10">
        <f t="shared" ca="1" si="5"/>
        <v>133</v>
      </c>
      <c r="P35" s="10"/>
    </row>
    <row r="36" spans="1:16" x14ac:dyDescent="0.25">
      <c r="A36" s="9">
        <f t="shared" ca="1" si="0"/>
        <v>46007</v>
      </c>
      <c r="B36" s="9"/>
      <c r="C36" s="9">
        <f t="shared" ca="1" si="1"/>
        <v>46036</v>
      </c>
      <c r="D36" s="9"/>
      <c r="E36" s="11">
        <f t="shared" ca="1" si="2"/>
        <v>29</v>
      </c>
      <c r="F36" s="11"/>
      <c r="G36" s="10" t="str">
        <f>Produtos!A36</f>
        <v>BOLACH-002</v>
      </c>
      <c r="H36" s="10"/>
      <c r="I36" s="10" t="str">
        <f>Produtos!E36</f>
        <v>Bolachas Laminadas</v>
      </c>
      <c r="J36" s="10"/>
      <c r="K36" s="11">
        <f t="shared" ca="1" si="3"/>
        <v>762</v>
      </c>
      <c r="L36" s="11"/>
      <c r="M36" s="11">
        <f t="shared" ca="1" si="4"/>
        <v>204</v>
      </c>
      <c r="N36" s="11"/>
      <c r="O36" s="10">
        <f t="shared" ca="1" si="5"/>
        <v>471</v>
      </c>
      <c r="P36" s="10"/>
    </row>
    <row r="37" spans="1:16" x14ac:dyDescent="0.25">
      <c r="A37" s="9">
        <f t="shared" ca="1" si="0"/>
        <v>46010</v>
      </c>
      <c r="B37" s="9"/>
      <c r="C37" s="9">
        <f t="shared" ca="1" si="1"/>
        <v>46035</v>
      </c>
      <c r="D37" s="9"/>
      <c r="E37" s="11">
        <f t="shared" ca="1" si="2"/>
        <v>25</v>
      </c>
      <c r="F37" s="11"/>
      <c r="G37" s="10" t="str">
        <f>Produtos!A37</f>
        <v>BOLACH-003</v>
      </c>
      <c r="H37" s="10"/>
      <c r="I37" s="10" t="str">
        <f>Produtos!E37</f>
        <v>Bolachas Laminadas</v>
      </c>
      <c r="J37" s="10"/>
      <c r="K37" s="11">
        <f t="shared" ca="1" si="3"/>
        <v>618</v>
      </c>
      <c r="L37" s="11"/>
      <c r="M37" s="11">
        <f t="shared" ca="1" si="4"/>
        <v>336</v>
      </c>
      <c r="N37" s="11"/>
      <c r="O37" s="10">
        <f t="shared" ca="1" si="5"/>
        <v>431</v>
      </c>
      <c r="P37" s="10"/>
    </row>
    <row r="38" spans="1:16" x14ac:dyDescent="0.25">
      <c r="A38" s="9">
        <f t="shared" ca="1" si="0"/>
        <v>46010</v>
      </c>
      <c r="B38" s="9"/>
      <c r="C38" s="9">
        <f t="shared" ca="1" si="1"/>
        <v>46035</v>
      </c>
      <c r="D38" s="9"/>
      <c r="E38" s="11">
        <f t="shared" ca="1" si="2"/>
        <v>25</v>
      </c>
      <c r="F38" s="11"/>
      <c r="G38" s="10" t="str">
        <f>Produtos!A38</f>
        <v>BISC-001</v>
      </c>
      <c r="H38" s="10"/>
      <c r="I38" s="10" t="str">
        <f>Produtos!E38</f>
        <v>Biscoitos recheados</v>
      </c>
      <c r="J38" s="10"/>
      <c r="K38" s="11">
        <f t="shared" ca="1" si="3"/>
        <v>697</v>
      </c>
      <c r="L38" s="11"/>
      <c r="M38" s="11">
        <f t="shared" ca="1" si="4"/>
        <v>762</v>
      </c>
      <c r="N38" s="11"/>
      <c r="O38" s="10">
        <f t="shared" ca="1" si="5"/>
        <v>182</v>
      </c>
      <c r="P38" s="10"/>
    </row>
    <row r="39" spans="1:16" x14ac:dyDescent="0.25">
      <c r="A39" s="9">
        <f t="shared" ca="1" si="0"/>
        <v>46007</v>
      </c>
      <c r="B39" s="9"/>
      <c r="C39" s="9">
        <f t="shared" ca="1" si="1"/>
        <v>46034</v>
      </c>
      <c r="D39" s="9"/>
      <c r="E39" s="11">
        <f t="shared" ca="1" si="2"/>
        <v>27</v>
      </c>
      <c r="F39" s="11"/>
      <c r="G39" s="10" t="str">
        <f>Produtos!A39</f>
        <v>BISC-002</v>
      </c>
      <c r="H39" s="10"/>
      <c r="I39" s="10" t="str">
        <f>Produtos!E39</f>
        <v>Biscoitos recheados</v>
      </c>
      <c r="J39" s="10"/>
      <c r="K39" s="11">
        <f t="shared" ca="1" si="3"/>
        <v>690</v>
      </c>
      <c r="L39" s="11"/>
      <c r="M39" s="11">
        <f t="shared" ca="1" si="4"/>
        <v>950</v>
      </c>
      <c r="N39" s="11"/>
      <c r="O39" s="10">
        <f t="shared" ca="1" si="5"/>
        <v>299</v>
      </c>
      <c r="P39" s="10"/>
    </row>
    <row r="40" spans="1:16" x14ac:dyDescent="0.25">
      <c r="A40" s="9">
        <f t="shared" ca="1" si="0"/>
        <v>46009</v>
      </c>
      <c r="B40" s="9"/>
      <c r="C40" s="9">
        <f t="shared" ca="1" si="1"/>
        <v>46034</v>
      </c>
      <c r="D40" s="9"/>
      <c r="E40" s="11">
        <f t="shared" ca="1" si="2"/>
        <v>25</v>
      </c>
      <c r="F40" s="11"/>
      <c r="G40" s="10" t="str">
        <f>Produtos!A40</f>
        <v>BISC-003</v>
      </c>
      <c r="H40" s="10"/>
      <c r="I40" s="10" t="str">
        <f>Produtos!E40</f>
        <v>Biscoitos recheados</v>
      </c>
      <c r="J40" s="10"/>
      <c r="K40" s="11">
        <f t="shared" ca="1" si="3"/>
        <v>340</v>
      </c>
      <c r="L40" s="11"/>
      <c r="M40" s="11">
        <f t="shared" ca="1" si="4"/>
        <v>955</v>
      </c>
      <c r="N40" s="11"/>
      <c r="O40" s="10">
        <f t="shared" ca="1" si="5"/>
        <v>217</v>
      </c>
      <c r="P40" s="10"/>
    </row>
    <row r="41" spans="1:16" x14ac:dyDescent="0.25">
      <c r="A41" s="9">
        <f t="shared" ca="1" si="0"/>
        <v>46006</v>
      </c>
      <c r="B41" s="9"/>
      <c r="C41" s="9">
        <f t="shared" ca="1" si="1"/>
        <v>46032</v>
      </c>
      <c r="D41" s="9"/>
      <c r="E41" s="11">
        <f t="shared" ca="1" si="2"/>
        <v>26</v>
      </c>
      <c r="F41" s="11"/>
      <c r="G41" s="10" t="str">
        <f>Produtos!A9</f>
        <v>FEI-002</v>
      </c>
      <c r="H41" s="10"/>
      <c r="I41" s="10" t="str">
        <f>Produtos!E9</f>
        <v>Leguminosa</v>
      </c>
      <c r="J41" s="10"/>
      <c r="K41" s="11">
        <f t="shared" ca="1" si="3"/>
        <v>278</v>
      </c>
      <c r="L41" s="11"/>
      <c r="M41" s="11">
        <f t="shared" ca="1" si="4"/>
        <v>396</v>
      </c>
      <c r="N41" s="11"/>
      <c r="O41" s="10">
        <f t="shared" ca="1" si="5"/>
        <v>214</v>
      </c>
      <c r="P41" s="10"/>
    </row>
    <row r="42" spans="1:16" x14ac:dyDescent="0.25">
      <c r="A42" s="9">
        <f t="shared" ca="1" si="0"/>
        <v>46010</v>
      </c>
      <c r="B42" s="9"/>
      <c r="C42" s="9">
        <f t="shared" ca="1" si="1"/>
        <v>46035</v>
      </c>
      <c r="D42" s="9"/>
      <c r="E42" s="11">
        <f t="shared" ca="1" si="2"/>
        <v>25</v>
      </c>
      <c r="F42" s="11"/>
      <c r="G42" s="10" t="str">
        <f>Produtos!A10</f>
        <v>FEI-003</v>
      </c>
      <c r="H42" s="10"/>
      <c r="I42" s="10" t="str">
        <f>Produtos!E10</f>
        <v>Leguminosa</v>
      </c>
      <c r="J42" s="10"/>
      <c r="K42" s="11">
        <f t="shared" ca="1" si="3"/>
        <v>934</v>
      </c>
      <c r="L42" s="11"/>
      <c r="M42" s="11">
        <f t="shared" ca="1" si="4"/>
        <v>785</v>
      </c>
      <c r="N42" s="11"/>
      <c r="O42" s="10">
        <f t="shared" ca="1" si="5"/>
        <v>242</v>
      </c>
      <c r="P42" s="10"/>
    </row>
    <row r="43" spans="1:16" x14ac:dyDescent="0.25">
      <c r="A43" s="9">
        <f t="shared" ca="1" si="0"/>
        <v>46011</v>
      </c>
      <c r="B43" s="9"/>
      <c r="C43" s="9">
        <f t="shared" ca="1" si="1"/>
        <v>46035</v>
      </c>
      <c r="D43" s="9"/>
      <c r="E43" s="11">
        <f t="shared" ca="1" si="2"/>
        <v>24</v>
      </c>
      <c r="F43" s="11"/>
      <c r="G43" s="10" t="str">
        <f>Produtos!A11</f>
        <v>CX-CREM-LEITE-001</v>
      </c>
      <c r="H43" s="10"/>
      <c r="I43" s="10" t="str">
        <f>Produtos!E11</f>
        <v xml:space="preserve"> Laticínio</v>
      </c>
      <c r="J43" s="10"/>
      <c r="K43" s="11">
        <f t="shared" ca="1" si="3"/>
        <v>545</v>
      </c>
      <c r="L43" s="11"/>
      <c r="M43" s="11">
        <f t="shared" ca="1" si="4"/>
        <v>257</v>
      </c>
      <c r="N43" s="11"/>
      <c r="O43" s="10">
        <f t="shared" ca="1" si="5"/>
        <v>457</v>
      </c>
      <c r="P43" s="10"/>
    </row>
    <row r="44" spans="1:16" x14ac:dyDescent="0.25">
      <c r="A44" s="9">
        <f t="shared" ca="1" si="0"/>
        <v>46009</v>
      </c>
      <c r="B44" s="9"/>
      <c r="C44" s="9">
        <f t="shared" ca="1" si="1"/>
        <v>46035</v>
      </c>
      <c r="D44" s="9"/>
      <c r="E44" s="11">
        <f t="shared" ca="1" si="2"/>
        <v>26</v>
      </c>
      <c r="F44" s="11"/>
      <c r="G44" s="10" t="str">
        <f>Produtos!A12</f>
        <v>CX-CREM-LEITE-002</v>
      </c>
      <c r="H44" s="10"/>
      <c r="I44" s="10" t="str">
        <f>Produtos!E12</f>
        <v xml:space="preserve"> Laticínio</v>
      </c>
      <c r="J44" s="10"/>
      <c r="K44" s="11">
        <f t="shared" ca="1" si="3"/>
        <v>244</v>
      </c>
      <c r="L44" s="11"/>
      <c r="M44" s="11">
        <f t="shared" ca="1" si="4"/>
        <v>685</v>
      </c>
      <c r="N44" s="11"/>
      <c r="O44" s="10">
        <f t="shared" ca="1" si="5"/>
        <v>246</v>
      </c>
      <c r="P44" s="10"/>
    </row>
    <row r="45" spans="1:16" x14ac:dyDescent="0.25">
      <c r="A45" s="9">
        <f t="shared" ca="1" si="0"/>
        <v>46007</v>
      </c>
      <c r="B45" s="9"/>
      <c r="C45" s="9">
        <f t="shared" ca="1" si="1"/>
        <v>46035</v>
      </c>
      <c r="D45" s="9"/>
      <c r="E45" s="11">
        <f t="shared" ca="1" si="2"/>
        <v>28</v>
      </c>
      <c r="F45" s="11"/>
      <c r="G45" s="10" t="str">
        <f>Produtos!A13</f>
        <v>CX-CREM-LEITE-003</v>
      </c>
      <c r="H45" s="10"/>
      <c r="I45" s="10" t="str">
        <f>Produtos!E13</f>
        <v xml:space="preserve"> Laticínio</v>
      </c>
      <c r="J45" s="10"/>
      <c r="K45" s="11">
        <f t="shared" ca="1" si="3"/>
        <v>816</v>
      </c>
      <c r="L45" s="11"/>
      <c r="M45" s="11">
        <f t="shared" ca="1" si="4"/>
        <v>550</v>
      </c>
      <c r="N45" s="11"/>
      <c r="O45" s="10">
        <f t="shared" ca="1" si="5"/>
        <v>433</v>
      </c>
      <c r="P45" s="10"/>
    </row>
    <row r="46" spans="1:16" x14ac:dyDescent="0.25">
      <c r="A46" s="9">
        <f t="shared" ca="1" si="0"/>
        <v>46008</v>
      </c>
      <c r="B46" s="9"/>
      <c r="C46" s="9">
        <f t="shared" ca="1" si="1"/>
        <v>46036</v>
      </c>
      <c r="D46" s="9"/>
      <c r="E46" s="11">
        <f t="shared" ca="1" si="2"/>
        <v>28</v>
      </c>
      <c r="F46" s="11"/>
      <c r="G46" s="10" t="str">
        <f>Produtos!A14</f>
        <v>LT-CREM-LEITE-001</v>
      </c>
      <c r="H46" s="10"/>
      <c r="I46" s="10" t="str">
        <f>Produtos!E14</f>
        <v xml:space="preserve"> Laticínio</v>
      </c>
      <c r="J46" s="10"/>
      <c r="K46" s="11">
        <f t="shared" ca="1" si="3"/>
        <v>226</v>
      </c>
      <c r="L46" s="11"/>
      <c r="M46" s="11">
        <f t="shared" ca="1" si="4"/>
        <v>104</v>
      </c>
      <c r="N46" s="11"/>
      <c r="O46" s="10">
        <f t="shared" ca="1" si="5"/>
        <v>470</v>
      </c>
      <c r="P46" s="10"/>
    </row>
    <row r="47" spans="1:16" x14ac:dyDescent="0.25">
      <c r="A47" s="9">
        <f t="shared" ca="1" si="0"/>
        <v>46010</v>
      </c>
      <c r="B47" s="9"/>
      <c r="C47" s="9">
        <f t="shared" ca="1" si="1"/>
        <v>46030</v>
      </c>
      <c r="D47" s="9"/>
      <c r="E47" s="11">
        <f t="shared" ca="1" si="2"/>
        <v>20</v>
      </c>
      <c r="F47" s="11"/>
      <c r="G47" s="10" t="str">
        <f>Produtos!A15</f>
        <v>LT-CREM-LEITE-002</v>
      </c>
      <c r="H47" s="10"/>
      <c r="I47" s="10" t="str">
        <f>Produtos!E15</f>
        <v xml:space="preserve"> Laticínio</v>
      </c>
      <c r="J47" s="10"/>
      <c r="K47" s="11">
        <f t="shared" ca="1" si="3"/>
        <v>847</v>
      </c>
      <c r="L47" s="11"/>
      <c r="M47" s="11">
        <f t="shared" ca="1" si="4"/>
        <v>567</v>
      </c>
      <c r="N47" s="11"/>
      <c r="O47" s="10">
        <f t="shared" ca="1" si="5"/>
        <v>183</v>
      </c>
      <c r="P47" s="10"/>
    </row>
    <row r="48" spans="1:16" x14ac:dyDescent="0.25">
      <c r="A48" s="9">
        <f t="shared" ca="1" si="0"/>
        <v>46010</v>
      </c>
      <c r="B48" s="9"/>
      <c r="C48" s="9">
        <f t="shared" ca="1" si="1"/>
        <v>46035</v>
      </c>
      <c r="D48" s="9"/>
      <c r="E48" s="11">
        <f t="shared" ca="1" si="2"/>
        <v>25</v>
      </c>
      <c r="F48" s="11"/>
      <c r="G48" s="10" t="str">
        <f>Produtos!A16</f>
        <v>LT-CREM-LEITE-003</v>
      </c>
      <c r="H48" s="10"/>
      <c r="I48" s="10" t="str">
        <f>Produtos!E16</f>
        <v xml:space="preserve"> Laticínio</v>
      </c>
      <c r="J48" s="10"/>
      <c r="K48" s="11">
        <f t="shared" ca="1" si="3"/>
        <v>399</v>
      </c>
      <c r="L48" s="11"/>
      <c r="M48" s="11">
        <f t="shared" ca="1" si="4"/>
        <v>766</v>
      </c>
      <c r="N48" s="11"/>
      <c r="O48" s="10">
        <f t="shared" ca="1" si="5"/>
        <v>381</v>
      </c>
      <c r="P48" s="10"/>
    </row>
    <row r="49" spans="1:16" x14ac:dyDescent="0.25">
      <c r="A49" s="9">
        <f t="shared" ca="1" si="0"/>
        <v>46008</v>
      </c>
      <c r="B49" s="9"/>
      <c r="C49" s="9">
        <f t="shared" ca="1" si="1"/>
        <v>46033</v>
      </c>
      <c r="D49" s="9"/>
      <c r="E49" s="11">
        <f t="shared" ca="1" si="2"/>
        <v>25</v>
      </c>
      <c r="F49" s="11"/>
      <c r="G49" s="10" t="str">
        <f>Produtos!A17</f>
        <v>CX-LEITE-COND-001</v>
      </c>
      <c r="H49" s="10"/>
      <c r="I49" s="10" t="str">
        <f>Produtos!E17</f>
        <v>Produtos lácteos</v>
      </c>
      <c r="J49" s="10"/>
      <c r="K49" s="11">
        <f t="shared" ca="1" si="3"/>
        <v>774</v>
      </c>
      <c r="L49" s="11"/>
      <c r="M49" s="11">
        <f t="shared" ca="1" si="4"/>
        <v>190</v>
      </c>
      <c r="N49" s="11"/>
      <c r="O49" s="10">
        <f t="shared" ca="1" si="5"/>
        <v>170</v>
      </c>
      <c r="P49" s="10"/>
    </row>
    <row r="50" spans="1:16" x14ac:dyDescent="0.25">
      <c r="A50" s="9">
        <f t="shared" ca="1" si="0"/>
        <v>46010</v>
      </c>
      <c r="B50" s="9"/>
      <c r="C50" s="9">
        <f t="shared" ca="1" si="1"/>
        <v>46034</v>
      </c>
      <c r="D50" s="9"/>
      <c r="E50" s="11">
        <f t="shared" ca="1" si="2"/>
        <v>24</v>
      </c>
      <c r="F50" s="11"/>
      <c r="G50" s="10" t="str">
        <f>Produtos!A18</f>
        <v>CX-LEITE-COND-002</v>
      </c>
      <c r="H50" s="10"/>
      <c r="I50" s="10" t="str">
        <f>Produtos!E18</f>
        <v>Produtos lácteos</v>
      </c>
      <c r="J50" s="10"/>
      <c r="K50" s="11">
        <f t="shared" ca="1" si="3"/>
        <v>479</v>
      </c>
      <c r="L50" s="11"/>
      <c r="M50" s="11">
        <f t="shared" ca="1" si="4"/>
        <v>435</v>
      </c>
      <c r="N50" s="11"/>
      <c r="O50" s="10">
        <f t="shared" ca="1" si="5"/>
        <v>160</v>
      </c>
      <c r="P50" s="10"/>
    </row>
  </sheetData>
  <mergeCells count="400">
    <mergeCell ref="K48:L48"/>
    <mergeCell ref="K49:L49"/>
    <mergeCell ref="K50:L50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E47:F47"/>
    <mergeCell ref="E48:F48"/>
    <mergeCell ref="E49:F49"/>
    <mergeCell ref="E50:F50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A46:B46"/>
    <mergeCell ref="A47:B47"/>
    <mergeCell ref="A48:B48"/>
    <mergeCell ref="A49:B49"/>
    <mergeCell ref="A50:B50"/>
    <mergeCell ref="E1:F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O45:P45"/>
    <mergeCell ref="O46:P46"/>
    <mergeCell ref="O47:P47"/>
    <mergeCell ref="O48:P48"/>
    <mergeCell ref="O49:P49"/>
    <mergeCell ref="O50:P50"/>
    <mergeCell ref="O39:P39"/>
    <mergeCell ref="O40:P40"/>
    <mergeCell ref="O41:P41"/>
    <mergeCell ref="O42:P42"/>
    <mergeCell ref="O43:P43"/>
    <mergeCell ref="O44:P44"/>
    <mergeCell ref="O33:P33"/>
    <mergeCell ref="O34:P34"/>
    <mergeCell ref="O35:P35"/>
    <mergeCell ref="O36:P36"/>
    <mergeCell ref="O37:P37"/>
    <mergeCell ref="O38:P38"/>
    <mergeCell ref="O27:P27"/>
    <mergeCell ref="O28:P28"/>
    <mergeCell ref="O29:P29"/>
    <mergeCell ref="O30:P30"/>
    <mergeCell ref="O31:P31"/>
    <mergeCell ref="O32:P32"/>
    <mergeCell ref="O21:P21"/>
    <mergeCell ref="O22:P22"/>
    <mergeCell ref="O23:P23"/>
    <mergeCell ref="O24:P24"/>
    <mergeCell ref="O25:P25"/>
    <mergeCell ref="O26:P26"/>
    <mergeCell ref="O15:P15"/>
    <mergeCell ref="O16:P16"/>
    <mergeCell ref="O17:P17"/>
    <mergeCell ref="O18:P18"/>
    <mergeCell ref="O19:P19"/>
    <mergeCell ref="O20:P20"/>
    <mergeCell ref="O9:P9"/>
    <mergeCell ref="O10:P10"/>
    <mergeCell ref="O11:P11"/>
    <mergeCell ref="O12:P12"/>
    <mergeCell ref="O13:P13"/>
    <mergeCell ref="O14:P14"/>
    <mergeCell ref="O3:P3"/>
    <mergeCell ref="O4:P4"/>
    <mergeCell ref="O5:P5"/>
    <mergeCell ref="O6:P6"/>
    <mergeCell ref="O7:P7"/>
    <mergeCell ref="O8:P8"/>
    <mergeCell ref="M45:N45"/>
    <mergeCell ref="M46:N46"/>
    <mergeCell ref="M47:N47"/>
    <mergeCell ref="M48:N48"/>
    <mergeCell ref="M49:N49"/>
    <mergeCell ref="M50:N50"/>
    <mergeCell ref="M39:N39"/>
    <mergeCell ref="M40:N40"/>
    <mergeCell ref="M41:N41"/>
    <mergeCell ref="M42:N42"/>
    <mergeCell ref="M43:N43"/>
    <mergeCell ref="M44:N44"/>
    <mergeCell ref="M33:N33"/>
    <mergeCell ref="M34:N34"/>
    <mergeCell ref="M35:N35"/>
    <mergeCell ref="M36:N36"/>
    <mergeCell ref="M37:N37"/>
    <mergeCell ref="M38:N38"/>
    <mergeCell ref="M27:N27"/>
    <mergeCell ref="M28:N28"/>
    <mergeCell ref="M29:N29"/>
    <mergeCell ref="M30:N30"/>
    <mergeCell ref="M31:N31"/>
    <mergeCell ref="M32:N32"/>
    <mergeCell ref="M21:N21"/>
    <mergeCell ref="M22:N22"/>
    <mergeCell ref="M23:N23"/>
    <mergeCell ref="M24:N24"/>
    <mergeCell ref="M25:N25"/>
    <mergeCell ref="M26:N26"/>
    <mergeCell ref="M15:N15"/>
    <mergeCell ref="M16:N16"/>
    <mergeCell ref="M17:N17"/>
    <mergeCell ref="M18:N18"/>
    <mergeCell ref="M19:N19"/>
    <mergeCell ref="M20:N20"/>
    <mergeCell ref="M9:N9"/>
    <mergeCell ref="M10:N10"/>
    <mergeCell ref="M11:N11"/>
    <mergeCell ref="M12:N12"/>
    <mergeCell ref="M13:N13"/>
    <mergeCell ref="M14:N14"/>
    <mergeCell ref="M3:N3"/>
    <mergeCell ref="M4:N4"/>
    <mergeCell ref="M5:N5"/>
    <mergeCell ref="M6:N6"/>
    <mergeCell ref="M7:N7"/>
    <mergeCell ref="M8:N8"/>
    <mergeCell ref="I45:J45"/>
    <mergeCell ref="I46:J46"/>
    <mergeCell ref="I47:J47"/>
    <mergeCell ref="I48:J48"/>
    <mergeCell ref="I49:J49"/>
    <mergeCell ref="I50:J50"/>
    <mergeCell ref="I39:J39"/>
    <mergeCell ref="I40:J40"/>
    <mergeCell ref="I41:J41"/>
    <mergeCell ref="I42:J42"/>
    <mergeCell ref="I43:J43"/>
    <mergeCell ref="I44:J44"/>
    <mergeCell ref="I33:J33"/>
    <mergeCell ref="I34:J34"/>
    <mergeCell ref="I35:J35"/>
    <mergeCell ref="I36:J36"/>
    <mergeCell ref="I37:J37"/>
    <mergeCell ref="I38:J38"/>
    <mergeCell ref="I27:J27"/>
    <mergeCell ref="I28:J28"/>
    <mergeCell ref="I29:J29"/>
    <mergeCell ref="I30:J30"/>
    <mergeCell ref="I31:J31"/>
    <mergeCell ref="I32:J32"/>
    <mergeCell ref="I21:J21"/>
    <mergeCell ref="I22:J22"/>
    <mergeCell ref="I23:J23"/>
    <mergeCell ref="I24:J24"/>
    <mergeCell ref="I25:J25"/>
    <mergeCell ref="I26:J26"/>
    <mergeCell ref="I15:J15"/>
    <mergeCell ref="I16:J16"/>
    <mergeCell ref="I17:J17"/>
    <mergeCell ref="I18:J18"/>
    <mergeCell ref="I19:J19"/>
    <mergeCell ref="I20:J20"/>
    <mergeCell ref="I9:J9"/>
    <mergeCell ref="I10:J10"/>
    <mergeCell ref="I11:J11"/>
    <mergeCell ref="I12:J12"/>
    <mergeCell ref="I13:J13"/>
    <mergeCell ref="I14:J14"/>
    <mergeCell ref="I3:J3"/>
    <mergeCell ref="I4:J4"/>
    <mergeCell ref="I5:J5"/>
    <mergeCell ref="I6:J6"/>
    <mergeCell ref="I7:J7"/>
    <mergeCell ref="I8:J8"/>
    <mergeCell ref="G45:H45"/>
    <mergeCell ref="G46:H46"/>
    <mergeCell ref="G47:H47"/>
    <mergeCell ref="G48:H48"/>
    <mergeCell ref="G49:H49"/>
    <mergeCell ref="G50:H50"/>
    <mergeCell ref="G39:H39"/>
    <mergeCell ref="G40:H40"/>
    <mergeCell ref="G41:H41"/>
    <mergeCell ref="G42:H42"/>
    <mergeCell ref="G43:H43"/>
    <mergeCell ref="G44:H44"/>
    <mergeCell ref="G33:H33"/>
    <mergeCell ref="G34:H34"/>
    <mergeCell ref="G35:H35"/>
    <mergeCell ref="G36:H36"/>
    <mergeCell ref="G37:H37"/>
    <mergeCell ref="G38:H38"/>
    <mergeCell ref="G27:H27"/>
    <mergeCell ref="G28:H28"/>
    <mergeCell ref="G29:H29"/>
    <mergeCell ref="G30:H30"/>
    <mergeCell ref="G31:H31"/>
    <mergeCell ref="G32:H32"/>
    <mergeCell ref="G21:H21"/>
    <mergeCell ref="G22:H22"/>
    <mergeCell ref="G23:H23"/>
    <mergeCell ref="G24:H24"/>
    <mergeCell ref="G25:H25"/>
    <mergeCell ref="G26:H26"/>
    <mergeCell ref="G15:H15"/>
    <mergeCell ref="G16:H16"/>
    <mergeCell ref="G17:H17"/>
    <mergeCell ref="G18:H18"/>
    <mergeCell ref="G19:H19"/>
    <mergeCell ref="G20:H20"/>
    <mergeCell ref="G9:H9"/>
    <mergeCell ref="G10:H10"/>
    <mergeCell ref="G11:H11"/>
    <mergeCell ref="G12:H12"/>
    <mergeCell ref="G13:H13"/>
    <mergeCell ref="G14:H14"/>
    <mergeCell ref="G3:H3"/>
    <mergeCell ref="G4:H4"/>
    <mergeCell ref="G5:H5"/>
    <mergeCell ref="G6:H6"/>
    <mergeCell ref="G7:H7"/>
    <mergeCell ref="G8:H8"/>
    <mergeCell ref="C45:D45"/>
    <mergeCell ref="C46:D46"/>
    <mergeCell ref="C47:D47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33:D33"/>
    <mergeCell ref="C34:D34"/>
    <mergeCell ref="C35:D35"/>
    <mergeCell ref="C36:D36"/>
    <mergeCell ref="C37:D37"/>
    <mergeCell ref="C38:D38"/>
    <mergeCell ref="C27:D27"/>
    <mergeCell ref="C28:D28"/>
    <mergeCell ref="C29:D29"/>
    <mergeCell ref="C30:D30"/>
    <mergeCell ref="C31:D31"/>
    <mergeCell ref="C32:D32"/>
    <mergeCell ref="C21:D21"/>
    <mergeCell ref="C22:D22"/>
    <mergeCell ref="C23:D23"/>
    <mergeCell ref="C24:D24"/>
    <mergeCell ref="C25:D25"/>
    <mergeCell ref="C26:D26"/>
    <mergeCell ref="C15:D15"/>
    <mergeCell ref="C16:D16"/>
    <mergeCell ref="C17:D17"/>
    <mergeCell ref="C18:D18"/>
    <mergeCell ref="C19:D19"/>
    <mergeCell ref="C20:D20"/>
    <mergeCell ref="C9:D9"/>
    <mergeCell ref="C10:D10"/>
    <mergeCell ref="C11:D11"/>
    <mergeCell ref="C12:D12"/>
    <mergeCell ref="C13:D13"/>
    <mergeCell ref="C14:D14"/>
    <mergeCell ref="C3:D3"/>
    <mergeCell ref="C4:D4"/>
    <mergeCell ref="C5:D5"/>
    <mergeCell ref="C6:D6"/>
    <mergeCell ref="C7:D7"/>
    <mergeCell ref="C8:D8"/>
    <mergeCell ref="C1:D1"/>
    <mergeCell ref="G1:H1"/>
    <mergeCell ref="I1:J1"/>
    <mergeCell ref="M1:N1"/>
    <mergeCell ref="O1:P1"/>
    <mergeCell ref="C2:D2"/>
    <mergeCell ref="G2:H2"/>
    <mergeCell ref="I2:J2"/>
    <mergeCell ref="M2:N2"/>
    <mergeCell ref="O2:P2"/>
    <mergeCell ref="K1:L1"/>
    <mergeCell ref="K2:L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88859-CDB3-43B9-B2A3-CD536C49EBB0}">
  <dimension ref="A1:L56"/>
  <sheetViews>
    <sheetView workbookViewId="0">
      <selection activeCell="E1" sqref="E1:F1"/>
    </sheetView>
  </sheetViews>
  <sheetFormatPr defaultRowHeight="15" x14ac:dyDescent="0.25"/>
  <cols>
    <col min="12" max="12" width="10.42578125" customWidth="1"/>
  </cols>
  <sheetData>
    <row r="1" spans="1:12" x14ac:dyDescent="0.25">
      <c r="A1" s="12" t="s">
        <v>0</v>
      </c>
      <c r="B1" s="13"/>
      <c r="C1" s="12" t="s">
        <v>99</v>
      </c>
      <c r="D1" s="13"/>
      <c r="E1" s="12" t="s">
        <v>101</v>
      </c>
      <c r="F1" s="13"/>
      <c r="G1" s="12" t="s">
        <v>8</v>
      </c>
      <c r="H1" s="13"/>
    </row>
    <row r="2" spans="1:12" x14ac:dyDescent="0.25">
      <c r="A2" s="6" t="str">
        <f>Produtos!A2</f>
        <v>ARZ-001</v>
      </c>
      <c r="B2" s="7"/>
      <c r="C2" s="6">
        <f ca="1">Produtos!G2</f>
        <v>68</v>
      </c>
      <c r="D2" s="7"/>
      <c r="E2" s="14">
        <f ca="1">Produtos!I2</f>
        <v>16</v>
      </c>
      <c r="F2" s="15"/>
      <c r="G2" s="14">
        <f ca="1">C2*E2</f>
        <v>1088</v>
      </c>
      <c r="H2" s="15"/>
      <c r="K2" s="12" t="s">
        <v>97</v>
      </c>
      <c r="L2" s="13"/>
    </row>
    <row r="3" spans="1:12" x14ac:dyDescent="0.25">
      <c r="A3" s="6" t="str">
        <f>Produtos!A3</f>
        <v>ARZ-002</v>
      </c>
      <c r="B3" s="7"/>
      <c r="C3" s="6">
        <f t="shared" ref="C3:C50" ca="1" si="0">RANDBETWEEN(8,150)</f>
        <v>27</v>
      </c>
      <c r="D3" s="7"/>
      <c r="E3" s="14">
        <f ca="1">Produtos!I3</f>
        <v>16.5</v>
      </c>
      <c r="F3" s="15"/>
      <c r="G3" s="14">
        <f t="shared" ref="G3:G50" ca="1" si="1">C3*E3</f>
        <v>445.5</v>
      </c>
      <c r="H3" s="15"/>
      <c r="K3" s="16">
        <f ca="1">TODAY()</f>
        <v>46036</v>
      </c>
      <c r="L3" s="17"/>
    </row>
    <row r="4" spans="1:12" x14ac:dyDescent="0.25">
      <c r="A4" s="6" t="str">
        <f>Produtos!A4</f>
        <v>ARZ-003</v>
      </c>
      <c r="B4" s="7"/>
      <c r="C4" s="6">
        <f t="shared" ca="1" si="0"/>
        <v>32</v>
      </c>
      <c r="D4" s="7"/>
      <c r="E4" s="14">
        <f ca="1">Produtos!I4</f>
        <v>6</v>
      </c>
      <c r="F4" s="15"/>
      <c r="G4" s="14">
        <f t="shared" ca="1" si="1"/>
        <v>192</v>
      </c>
      <c r="H4" s="15"/>
    </row>
    <row r="5" spans="1:12" x14ac:dyDescent="0.25">
      <c r="A5" s="6" t="str">
        <f>Produtos!A5</f>
        <v>MAC-001</v>
      </c>
      <c r="B5" s="7"/>
      <c r="C5" s="6">
        <f t="shared" ca="1" si="0"/>
        <v>69</v>
      </c>
      <c r="D5" s="7"/>
      <c r="E5" s="14">
        <f ca="1">Produtos!I5</f>
        <v>5.5</v>
      </c>
      <c r="F5" s="15"/>
      <c r="G5" s="14">
        <f t="shared" ca="1" si="1"/>
        <v>379.5</v>
      </c>
      <c r="H5" s="15"/>
    </row>
    <row r="6" spans="1:12" x14ac:dyDescent="0.25">
      <c r="A6" s="6" t="str">
        <f>Produtos!A6</f>
        <v>MAC-002</v>
      </c>
      <c r="B6" s="7"/>
      <c r="C6" s="6">
        <f t="shared" ca="1" si="0"/>
        <v>144</v>
      </c>
      <c r="D6" s="7"/>
      <c r="E6" s="14">
        <f ca="1">Produtos!I6</f>
        <v>6.5</v>
      </c>
      <c r="F6" s="15"/>
      <c r="G6" s="14">
        <f t="shared" ca="1" si="1"/>
        <v>936</v>
      </c>
      <c r="H6" s="15"/>
    </row>
    <row r="7" spans="1:12" x14ac:dyDescent="0.25">
      <c r="A7" s="6" t="str">
        <f>Produtos!A7</f>
        <v>MAC-003</v>
      </c>
      <c r="B7" s="7"/>
      <c r="C7" s="6">
        <f t="shared" ca="1" si="0"/>
        <v>111</v>
      </c>
      <c r="D7" s="7"/>
      <c r="E7" s="14">
        <f ca="1">Produtos!I7</f>
        <v>2.5</v>
      </c>
      <c r="F7" s="15"/>
      <c r="G7" s="14">
        <f t="shared" ca="1" si="1"/>
        <v>277.5</v>
      </c>
      <c r="H7" s="15"/>
    </row>
    <row r="8" spans="1:12" x14ac:dyDescent="0.25">
      <c r="A8" s="6" t="str">
        <f>Produtos!A8</f>
        <v>FEI-001</v>
      </c>
      <c r="B8" s="7"/>
      <c r="C8" s="6">
        <f t="shared" ca="1" si="0"/>
        <v>22</v>
      </c>
      <c r="D8" s="7"/>
      <c r="E8" s="14">
        <f ca="1">Produtos!I8</f>
        <v>3.5</v>
      </c>
      <c r="F8" s="15"/>
      <c r="G8" s="14">
        <f t="shared" ca="1" si="1"/>
        <v>77</v>
      </c>
      <c r="H8" s="15"/>
    </row>
    <row r="9" spans="1:12" x14ac:dyDescent="0.25">
      <c r="A9" s="6" t="str">
        <f>Produtos!A9</f>
        <v>FEI-002</v>
      </c>
      <c r="B9" s="7"/>
      <c r="C9" s="6">
        <f t="shared" ca="1" si="0"/>
        <v>82</v>
      </c>
      <c r="D9" s="7"/>
      <c r="E9" s="14">
        <f ca="1">Produtos!I9</f>
        <v>16.5</v>
      </c>
      <c r="F9" s="15"/>
      <c r="G9" s="14">
        <f t="shared" ca="1" si="1"/>
        <v>1353</v>
      </c>
      <c r="H9" s="15"/>
    </row>
    <row r="10" spans="1:12" x14ac:dyDescent="0.25">
      <c r="A10" s="6" t="str">
        <f>Produtos!A10</f>
        <v>FEI-003</v>
      </c>
      <c r="B10" s="7"/>
      <c r="C10" s="6">
        <f t="shared" ca="1" si="0"/>
        <v>112</v>
      </c>
      <c r="D10" s="7"/>
      <c r="E10" s="14">
        <f ca="1">Produtos!I10</f>
        <v>9.5</v>
      </c>
      <c r="F10" s="15"/>
      <c r="G10" s="14">
        <f t="shared" ca="1" si="1"/>
        <v>1064</v>
      </c>
      <c r="H10" s="15"/>
    </row>
    <row r="11" spans="1:12" x14ac:dyDescent="0.25">
      <c r="A11" s="6" t="str">
        <f>Produtos!A11</f>
        <v>CX-CREM-LEITE-001</v>
      </c>
      <c r="B11" s="7"/>
      <c r="C11" s="6">
        <f t="shared" ca="1" si="0"/>
        <v>116</v>
      </c>
      <c r="D11" s="7"/>
      <c r="E11" s="14">
        <f ca="1">Produtos!I11</f>
        <v>9.5</v>
      </c>
      <c r="F11" s="15"/>
      <c r="G11" s="14">
        <f t="shared" ca="1" si="1"/>
        <v>1102</v>
      </c>
      <c r="H11" s="15"/>
    </row>
    <row r="12" spans="1:12" x14ac:dyDescent="0.25">
      <c r="A12" s="6" t="str">
        <f>Produtos!A12</f>
        <v>CX-CREM-LEITE-002</v>
      </c>
      <c r="B12" s="7"/>
      <c r="C12" s="6">
        <f t="shared" ca="1" si="0"/>
        <v>87</v>
      </c>
      <c r="D12" s="7"/>
      <c r="E12" s="14">
        <f ca="1">Produtos!I12</f>
        <v>9</v>
      </c>
      <c r="F12" s="15"/>
      <c r="G12" s="14">
        <f t="shared" ca="1" si="1"/>
        <v>783</v>
      </c>
      <c r="H12" s="15"/>
    </row>
    <row r="13" spans="1:12" x14ac:dyDescent="0.25">
      <c r="A13" s="6" t="str">
        <f>Produtos!A13</f>
        <v>CX-CREM-LEITE-003</v>
      </c>
      <c r="B13" s="7"/>
      <c r="C13" s="6">
        <f t="shared" ca="1" si="0"/>
        <v>39</v>
      </c>
      <c r="D13" s="7"/>
      <c r="E13" s="14">
        <f ca="1">Produtos!I13</f>
        <v>15.5</v>
      </c>
      <c r="F13" s="15"/>
      <c r="G13" s="14">
        <f t="shared" ca="1" si="1"/>
        <v>604.5</v>
      </c>
      <c r="H13" s="15"/>
    </row>
    <row r="14" spans="1:12" x14ac:dyDescent="0.25">
      <c r="A14" s="6" t="str">
        <f>Produtos!A14</f>
        <v>LT-CREM-LEITE-001</v>
      </c>
      <c r="B14" s="7"/>
      <c r="C14" s="6">
        <f t="shared" ca="1" si="0"/>
        <v>73</v>
      </c>
      <c r="D14" s="7"/>
      <c r="E14" s="14">
        <f ca="1">Produtos!I14</f>
        <v>11</v>
      </c>
      <c r="F14" s="15"/>
      <c r="G14" s="14">
        <f t="shared" ca="1" si="1"/>
        <v>803</v>
      </c>
      <c r="H14" s="15"/>
    </row>
    <row r="15" spans="1:12" x14ac:dyDescent="0.25">
      <c r="A15" s="6" t="str">
        <f>Produtos!A15</f>
        <v>LT-CREM-LEITE-002</v>
      </c>
      <c r="B15" s="7"/>
      <c r="C15" s="6">
        <f t="shared" ca="1" si="0"/>
        <v>54</v>
      </c>
      <c r="D15" s="7"/>
      <c r="E15" s="14">
        <f ca="1">Produtos!I15</f>
        <v>6</v>
      </c>
      <c r="F15" s="15"/>
      <c r="G15" s="14">
        <f t="shared" ca="1" si="1"/>
        <v>324</v>
      </c>
      <c r="H15" s="15"/>
    </row>
    <row r="16" spans="1:12" x14ac:dyDescent="0.25">
      <c r="A16" s="6" t="str">
        <f>Produtos!A16</f>
        <v>LT-CREM-LEITE-003</v>
      </c>
      <c r="B16" s="7"/>
      <c r="C16" s="6">
        <f t="shared" ca="1" si="0"/>
        <v>98</v>
      </c>
      <c r="D16" s="7"/>
      <c r="E16" s="14">
        <f ca="1">Produtos!I16</f>
        <v>8</v>
      </c>
      <c r="F16" s="15"/>
      <c r="G16" s="14">
        <f t="shared" ca="1" si="1"/>
        <v>784</v>
      </c>
      <c r="H16" s="15"/>
    </row>
    <row r="17" spans="1:8" x14ac:dyDescent="0.25">
      <c r="A17" s="6" t="str">
        <f>Produtos!A17</f>
        <v>CX-LEITE-COND-001</v>
      </c>
      <c r="B17" s="7"/>
      <c r="C17" s="6">
        <f t="shared" ca="1" si="0"/>
        <v>113</v>
      </c>
      <c r="D17" s="7"/>
      <c r="E17" s="14">
        <f ca="1">Produtos!I17</f>
        <v>16.5</v>
      </c>
      <c r="F17" s="15"/>
      <c r="G17" s="14">
        <f t="shared" ca="1" si="1"/>
        <v>1864.5</v>
      </c>
      <c r="H17" s="15"/>
    </row>
    <row r="18" spans="1:8" x14ac:dyDescent="0.25">
      <c r="A18" s="6" t="str">
        <f>Produtos!A18</f>
        <v>CX-LEITE-COND-002</v>
      </c>
      <c r="B18" s="7"/>
      <c r="C18" s="6">
        <f t="shared" ca="1" si="0"/>
        <v>95</v>
      </c>
      <c r="D18" s="7"/>
      <c r="E18" s="14">
        <f ca="1">Produtos!I18</f>
        <v>13</v>
      </c>
      <c r="F18" s="15"/>
      <c r="G18" s="14">
        <f t="shared" ca="1" si="1"/>
        <v>1235</v>
      </c>
      <c r="H18" s="15"/>
    </row>
    <row r="19" spans="1:8" x14ac:dyDescent="0.25">
      <c r="A19" s="6" t="str">
        <f>Produtos!A19</f>
        <v>CX-LEITE-COND-003</v>
      </c>
      <c r="B19" s="7"/>
      <c r="C19" s="6">
        <f t="shared" ca="1" si="0"/>
        <v>36</v>
      </c>
      <c r="D19" s="7"/>
      <c r="E19" s="14">
        <f ca="1">Produtos!I19</f>
        <v>15.5</v>
      </c>
      <c r="F19" s="15"/>
      <c r="G19" s="14">
        <f t="shared" ca="1" si="1"/>
        <v>558</v>
      </c>
      <c r="H19" s="15"/>
    </row>
    <row r="20" spans="1:8" x14ac:dyDescent="0.25">
      <c r="A20" s="6" t="str">
        <f>Produtos!A20</f>
        <v>LT-LEITE-COND-001</v>
      </c>
      <c r="B20" s="7"/>
      <c r="C20" s="6">
        <f t="shared" ca="1" si="0"/>
        <v>8</v>
      </c>
      <c r="D20" s="7"/>
      <c r="E20" s="14">
        <f ca="1">Produtos!I20</f>
        <v>17</v>
      </c>
      <c r="F20" s="15"/>
      <c r="G20" s="14">
        <f t="shared" ca="1" si="1"/>
        <v>136</v>
      </c>
      <c r="H20" s="15"/>
    </row>
    <row r="21" spans="1:8" x14ac:dyDescent="0.25">
      <c r="A21" s="6" t="str">
        <f>Produtos!A21</f>
        <v>LT-LEITE-COND-002</v>
      </c>
      <c r="B21" s="7"/>
      <c r="C21" s="6">
        <f t="shared" ca="1" si="0"/>
        <v>66</v>
      </c>
      <c r="D21" s="7"/>
      <c r="E21" s="14">
        <f ca="1">Produtos!I21</f>
        <v>9</v>
      </c>
      <c r="F21" s="15"/>
      <c r="G21" s="14">
        <f t="shared" ca="1" si="1"/>
        <v>594</v>
      </c>
      <c r="H21" s="15"/>
    </row>
    <row r="22" spans="1:8" x14ac:dyDescent="0.25">
      <c r="A22" s="6" t="str">
        <f>Produtos!A22</f>
        <v>LT-LEITE-COND-003</v>
      </c>
      <c r="B22" s="7"/>
      <c r="C22" s="6">
        <f t="shared" ca="1" si="0"/>
        <v>46</v>
      </c>
      <c r="D22" s="7"/>
      <c r="E22" s="14">
        <f ca="1">Produtos!I22</f>
        <v>4.5</v>
      </c>
      <c r="F22" s="15"/>
      <c r="G22" s="14">
        <f t="shared" ca="1" si="1"/>
        <v>207</v>
      </c>
      <c r="H22" s="15"/>
    </row>
    <row r="23" spans="1:8" x14ac:dyDescent="0.25">
      <c r="A23" s="6" t="str">
        <f>Produtos!A23</f>
        <v>PT-FRANG-001</v>
      </c>
      <c r="B23" s="7"/>
      <c r="C23" s="6">
        <f t="shared" ca="1" si="0"/>
        <v>50</v>
      </c>
      <c r="D23" s="7"/>
      <c r="E23" s="14">
        <f ca="1">Produtos!I23</f>
        <v>15</v>
      </c>
      <c r="F23" s="15"/>
      <c r="G23" s="14">
        <f t="shared" ca="1" si="1"/>
        <v>750</v>
      </c>
      <c r="H23" s="15"/>
    </row>
    <row r="24" spans="1:8" x14ac:dyDescent="0.25">
      <c r="A24" s="6" t="str">
        <f>Produtos!A24</f>
        <v>PT-FRANG-002</v>
      </c>
      <c r="B24" s="7"/>
      <c r="C24" s="6">
        <f t="shared" ca="1" si="0"/>
        <v>53</v>
      </c>
      <c r="D24" s="7"/>
      <c r="E24" s="14">
        <f ca="1">Produtos!I24</f>
        <v>4.5</v>
      </c>
      <c r="F24" s="15"/>
      <c r="G24" s="14">
        <f t="shared" ca="1" si="1"/>
        <v>238.5</v>
      </c>
      <c r="H24" s="15"/>
    </row>
    <row r="25" spans="1:8" x14ac:dyDescent="0.25">
      <c r="A25" s="6" t="str">
        <f>Produtos!A25</f>
        <v>PT-FRANG-003</v>
      </c>
      <c r="B25" s="7"/>
      <c r="C25" s="6">
        <f t="shared" ca="1" si="0"/>
        <v>56</v>
      </c>
      <c r="D25" s="7"/>
      <c r="E25" s="14">
        <f ca="1">Produtos!I25</f>
        <v>5</v>
      </c>
      <c r="F25" s="15"/>
      <c r="G25" s="14">
        <f t="shared" ca="1" si="1"/>
        <v>280</v>
      </c>
      <c r="H25" s="15"/>
    </row>
    <row r="26" spans="1:8" x14ac:dyDescent="0.25">
      <c r="A26" s="6" t="str">
        <f>Produtos!A26</f>
        <v>COX-FRANG-001</v>
      </c>
      <c r="B26" s="7"/>
      <c r="C26" s="6">
        <f t="shared" ca="1" si="0"/>
        <v>50</v>
      </c>
      <c r="D26" s="7"/>
      <c r="E26" s="14">
        <f ca="1">Produtos!I26</f>
        <v>16.5</v>
      </c>
      <c r="F26" s="15"/>
      <c r="G26" s="14">
        <f t="shared" ca="1" si="1"/>
        <v>825</v>
      </c>
      <c r="H26" s="15"/>
    </row>
    <row r="27" spans="1:8" x14ac:dyDescent="0.25">
      <c r="A27" s="6" t="str">
        <f>Produtos!A27</f>
        <v>COX-FRANG-002</v>
      </c>
      <c r="B27" s="7"/>
      <c r="C27" s="6">
        <f t="shared" ca="1" si="0"/>
        <v>56</v>
      </c>
      <c r="D27" s="7"/>
      <c r="E27" s="14">
        <f ca="1">Produtos!I27</f>
        <v>5</v>
      </c>
      <c r="F27" s="15"/>
      <c r="G27" s="14">
        <f t="shared" ca="1" si="1"/>
        <v>280</v>
      </c>
      <c r="H27" s="15"/>
    </row>
    <row r="28" spans="1:8" x14ac:dyDescent="0.25">
      <c r="A28" s="6" t="str">
        <f>Produtos!A28</f>
        <v>COX-FRANG-003</v>
      </c>
      <c r="B28" s="7"/>
      <c r="C28" s="6">
        <f t="shared" ca="1" si="0"/>
        <v>27</v>
      </c>
      <c r="D28" s="7"/>
      <c r="E28" s="14">
        <f ca="1">Produtos!I28</f>
        <v>7</v>
      </c>
      <c r="F28" s="15"/>
      <c r="G28" s="14">
        <f t="shared" ca="1" si="1"/>
        <v>189</v>
      </c>
      <c r="H28" s="15"/>
    </row>
    <row r="29" spans="1:8" x14ac:dyDescent="0.25">
      <c r="A29" s="6" t="str">
        <f>Produtos!A29</f>
        <v>REFRIG-001</v>
      </c>
      <c r="B29" s="7"/>
      <c r="C29" s="6">
        <f t="shared" ca="1" si="0"/>
        <v>150</v>
      </c>
      <c r="D29" s="7"/>
      <c r="E29" s="14">
        <f ca="1">Produtos!I29</f>
        <v>4</v>
      </c>
      <c r="F29" s="15"/>
      <c r="G29" s="14">
        <f t="shared" ca="1" si="1"/>
        <v>600</v>
      </c>
      <c r="H29" s="15"/>
    </row>
    <row r="30" spans="1:8" x14ac:dyDescent="0.25">
      <c r="A30" s="6" t="str">
        <f>Produtos!A30</f>
        <v>REFRIG-002</v>
      </c>
      <c r="B30" s="7"/>
      <c r="C30" s="6">
        <f t="shared" ca="1" si="0"/>
        <v>29</v>
      </c>
      <c r="D30" s="7"/>
      <c r="E30" s="14">
        <f ca="1">Produtos!I30</f>
        <v>6</v>
      </c>
      <c r="F30" s="15"/>
      <c r="G30" s="14">
        <f t="shared" ca="1" si="1"/>
        <v>174</v>
      </c>
      <c r="H30" s="15"/>
    </row>
    <row r="31" spans="1:8" x14ac:dyDescent="0.25">
      <c r="A31" s="6" t="str">
        <f>Produtos!A31</f>
        <v>REFRIG-003</v>
      </c>
      <c r="B31" s="7"/>
      <c r="C31" s="6">
        <f t="shared" ca="1" si="0"/>
        <v>34</v>
      </c>
      <c r="D31" s="7"/>
      <c r="E31" s="14">
        <f ca="1">Produtos!I31</f>
        <v>13</v>
      </c>
      <c r="F31" s="15"/>
      <c r="G31" s="14">
        <f t="shared" ca="1" si="1"/>
        <v>442</v>
      </c>
      <c r="H31" s="15"/>
    </row>
    <row r="32" spans="1:8" x14ac:dyDescent="0.25">
      <c r="A32" s="6" t="str">
        <f>Produtos!A32</f>
        <v>TEMP-001</v>
      </c>
      <c r="B32" s="7"/>
      <c r="C32" s="6">
        <f t="shared" ca="1" si="0"/>
        <v>52</v>
      </c>
      <c r="D32" s="7"/>
      <c r="E32" s="14">
        <f ca="1">Produtos!I32</f>
        <v>9</v>
      </c>
      <c r="F32" s="15"/>
      <c r="G32" s="14">
        <f t="shared" ca="1" si="1"/>
        <v>468</v>
      </c>
      <c r="H32" s="15"/>
    </row>
    <row r="33" spans="1:8" x14ac:dyDescent="0.25">
      <c r="A33" s="6" t="str">
        <f>Produtos!A33</f>
        <v>TEMP-002</v>
      </c>
      <c r="B33" s="7"/>
      <c r="C33" s="6">
        <f t="shared" ca="1" si="0"/>
        <v>97</v>
      </c>
      <c r="D33" s="7"/>
      <c r="E33" s="14">
        <f ca="1">Produtos!I33</f>
        <v>4.5</v>
      </c>
      <c r="F33" s="15"/>
      <c r="G33" s="14">
        <f t="shared" ca="1" si="1"/>
        <v>436.5</v>
      </c>
      <c r="H33" s="15"/>
    </row>
    <row r="34" spans="1:8" x14ac:dyDescent="0.25">
      <c r="A34" s="6" t="str">
        <f>Produtos!A34</f>
        <v>TEMP-003</v>
      </c>
      <c r="B34" s="7"/>
      <c r="C34" s="6">
        <f t="shared" ca="1" si="0"/>
        <v>99</v>
      </c>
      <c r="D34" s="7"/>
      <c r="E34" s="14">
        <f ca="1">Produtos!I34</f>
        <v>2.5</v>
      </c>
      <c r="F34" s="15"/>
      <c r="G34" s="14">
        <f t="shared" ca="1" si="1"/>
        <v>247.5</v>
      </c>
      <c r="H34" s="15"/>
    </row>
    <row r="35" spans="1:8" x14ac:dyDescent="0.25">
      <c r="A35" s="6" t="str">
        <f>Produtos!A35</f>
        <v>BOLACH-001</v>
      </c>
      <c r="B35" s="7"/>
      <c r="C35" s="6">
        <f t="shared" ca="1" si="0"/>
        <v>66</v>
      </c>
      <c r="D35" s="7"/>
      <c r="E35" s="14">
        <f ca="1">Produtos!I35</f>
        <v>13</v>
      </c>
      <c r="F35" s="15"/>
      <c r="G35" s="14">
        <f t="shared" ca="1" si="1"/>
        <v>858</v>
      </c>
      <c r="H35" s="15"/>
    </row>
    <row r="36" spans="1:8" x14ac:dyDescent="0.25">
      <c r="A36" s="6" t="str">
        <f>Produtos!A36</f>
        <v>BOLACH-002</v>
      </c>
      <c r="B36" s="7"/>
      <c r="C36" s="6">
        <f t="shared" ca="1" si="0"/>
        <v>41</v>
      </c>
      <c r="D36" s="7"/>
      <c r="E36" s="14">
        <f ca="1">Produtos!I36</f>
        <v>4</v>
      </c>
      <c r="F36" s="15"/>
      <c r="G36" s="14">
        <f t="shared" ca="1" si="1"/>
        <v>164</v>
      </c>
      <c r="H36" s="15"/>
    </row>
    <row r="37" spans="1:8" x14ac:dyDescent="0.25">
      <c r="A37" s="6" t="str">
        <f>Produtos!A37</f>
        <v>BOLACH-003</v>
      </c>
      <c r="B37" s="7"/>
      <c r="C37" s="6">
        <f t="shared" ca="1" si="0"/>
        <v>140</v>
      </c>
      <c r="D37" s="7"/>
      <c r="E37" s="14">
        <f ca="1">Produtos!I37</f>
        <v>10.5</v>
      </c>
      <c r="F37" s="15"/>
      <c r="G37" s="14">
        <f t="shared" ca="1" si="1"/>
        <v>1470</v>
      </c>
      <c r="H37" s="15"/>
    </row>
    <row r="38" spans="1:8" x14ac:dyDescent="0.25">
      <c r="A38" s="6" t="str">
        <f>Produtos!A38</f>
        <v>BISC-001</v>
      </c>
      <c r="B38" s="7"/>
      <c r="C38" s="6">
        <f t="shared" ca="1" si="0"/>
        <v>59</v>
      </c>
      <c r="D38" s="7"/>
      <c r="E38" s="14">
        <f ca="1">Produtos!I38</f>
        <v>4.5</v>
      </c>
      <c r="F38" s="15"/>
      <c r="G38" s="14">
        <f t="shared" ca="1" si="1"/>
        <v>265.5</v>
      </c>
      <c r="H38" s="15"/>
    </row>
    <row r="39" spans="1:8" x14ac:dyDescent="0.25">
      <c r="A39" s="6" t="str">
        <f>Produtos!A39</f>
        <v>BISC-002</v>
      </c>
      <c r="B39" s="7"/>
      <c r="C39" s="6">
        <f t="shared" ca="1" si="0"/>
        <v>52</v>
      </c>
      <c r="D39" s="7"/>
      <c r="E39" s="14">
        <f ca="1">Produtos!I39</f>
        <v>9</v>
      </c>
      <c r="F39" s="15"/>
      <c r="G39" s="14">
        <f t="shared" ca="1" si="1"/>
        <v>468</v>
      </c>
      <c r="H39" s="15"/>
    </row>
    <row r="40" spans="1:8" x14ac:dyDescent="0.25">
      <c r="A40" s="6" t="str">
        <f>Produtos!A40</f>
        <v>BISC-003</v>
      </c>
      <c r="B40" s="7"/>
      <c r="C40" s="6">
        <f t="shared" ca="1" si="0"/>
        <v>58</v>
      </c>
      <c r="D40" s="7"/>
      <c r="E40" s="14">
        <f ca="1">Produtos!I40</f>
        <v>5.5</v>
      </c>
      <c r="F40" s="15"/>
      <c r="G40" s="14">
        <f t="shared" ca="1" si="1"/>
        <v>319</v>
      </c>
      <c r="H40" s="15"/>
    </row>
    <row r="41" spans="1:8" x14ac:dyDescent="0.25">
      <c r="A41" s="6" t="str">
        <f>Produtos!A16</f>
        <v>LT-CREM-LEITE-003</v>
      </c>
      <c r="B41" s="7"/>
      <c r="C41" s="6">
        <f t="shared" ca="1" si="0"/>
        <v>99</v>
      </c>
      <c r="D41" s="7"/>
      <c r="E41" s="14">
        <f ca="1">Produtos!I16</f>
        <v>8</v>
      </c>
      <c r="F41" s="15"/>
      <c r="G41" s="14">
        <f t="shared" ca="1" si="1"/>
        <v>792</v>
      </c>
      <c r="H41" s="15"/>
    </row>
    <row r="42" spans="1:8" x14ac:dyDescent="0.25">
      <c r="A42" s="6" t="str">
        <f>Produtos!A17</f>
        <v>CX-LEITE-COND-001</v>
      </c>
      <c r="B42" s="7"/>
      <c r="C42" s="6">
        <f t="shared" ca="1" si="0"/>
        <v>135</v>
      </c>
      <c r="D42" s="7"/>
      <c r="E42" s="14">
        <f ca="1">Produtos!I17</f>
        <v>16.5</v>
      </c>
      <c r="F42" s="15"/>
      <c r="G42" s="14">
        <f t="shared" ca="1" si="1"/>
        <v>2227.5</v>
      </c>
      <c r="H42" s="15"/>
    </row>
    <row r="43" spans="1:8" x14ac:dyDescent="0.25">
      <c r="A43" s="6" t="str">
        <f>Produtos!A18</f>
        <v>CX-LEITE-COND-002</v>
      </c>
      <c r="B43" s="7"/>
      <c r="C43" s="6">
        <f t="shared" ca="1" si="0"/>
        <v>91</v>
      </c>
      <c r="D43" s="7"/>
      <c r="E43" s="14">
        <f ca="1">Produtos!I18</f>
        <v>13</v>
      </c>
      <c r="F43" s="15"/>
      <c r="G43" s="14">
        <f t="shared" ca="1" si="1"/>
        <v>1183</v>
      </c>
      <c r="H43" s="15"/>
    </row>
    <row r="44" spans="1:8" x14ac:dyDescent="0.25">
      <c r="A44" s="6" t="str">
        <f>Produtos!A19</f>
        <v>CX-LEITE-COND-003</v>
      </c>
      <c r="B44" s="7"/>
      <c r="C44" s="6">
        <f t="shared" ca="1" si="0"/>
        <v>132</v>
      </c>
      <c r="D44" s="7"/>
      <c r="E44" s="14">
        <f ca="1">Produtos!I19</f>
        <v>15.5</v>
      </c>
      <c r="F44" s="15"/>
      <c r="G44" s="14">
        <f t="shared" ca="1" si="1"/>
        <v>2046</v>
      </c>
      <c r="H44" s="15"/>
    </row>
    <row r="45" spans="1:8" x14ac:dyDescent="0.25">
      <c r="A45" s="6" t="str">
        <f>Produtos!A20</f>
        <v>LT-LEITE-COND-001</v>
      </c>
      <c r="B45" s="7"/>
      <c r="C45" s="6">
        <f t="shared" ca="1" si="0"/>
        <v>95</v>
      </c>
      <c r="D45" s="7"/>
      <c r="E45" s="14">
        <f ca="1">Produtos!I20</f>
        <v>17</v>
      </c>
      <c r="F45" s="15"/>
      <c r="G45" s="14">
        <f t="shared" ca="1" si="1"/>
        <v>1615</v>
      </c>
      <c r="H45" s="15"/>
    </row>
    <row r="46" spans="1:8" x14ac:dyDescent="0.25">
      <c r="A46" s="6" t="str">
        <f>Produtos!A21</f>
        <v>LT-LEITE-COND-002</v>
      </c>
      <c r="B46" s="7"/>
      <c r="C46" s="6">
        <f t="shared" ca="1" si="0"/>
        <v>11</v>
      </c>
      <c r="D46" s="7"/>
      <c r="E46" s="14">
        <f ca="1">Produtos!I21</f>
        <v>9</v>
      </c>
      <c r="F46" s="15"/>
      <c r="G46" s="14">
        <f t="shared" ca="1" si="1"/>
        <v>99</v>
      </c>
      <c r="H46" s="15"/>
    </row>
    <row r="47" spans="1:8" x14ac:dyDescent="0.25">
      <c r="A47" s="6" t="str">
        <f>Produtos!A22</f>
        <v>LT-LEITE-COND-003</v>
      </c>
      <c r="B47" s="7"/>
      <c r="C47" s="6">
        <f t="shared" ca="1" si="0"/>
        <v>123</v>
      </c>
      <c r="D47" s="7"/>
      <c r="E47" s="14">
        <f ca="1">Produtos!I22</f>
        <v>4.5</v>
      </c>
      <c r="F47" s="15"/>
      <c r="G47" s="14">
        <f t="shared" ca="1" si="1"/>
        <v>553.5</v>
      </c>
      <c r="H47" s="15"/>
    </row>
    <row r="48" spans="1:8" x14ac:dyDescent="0.25">
      <c r="A48" s="6" t="str">
        <f>Produtos!A23</f>
        <v>PT-FRANG-001</v>
      </c>
      <c r="B48" s="7"/>
      <c r="C48" s="6">
        <f t="shared" ca="1" si="0"/>
        <v>109</v>
      </c>
      <c r="D48" s="7"/>
      <c r="E48" s="14">
        <f ca="1">Produtos!I23</f>
        <v>15</v>
      </c>
      <c r="F48" s="15"/>
      <c r="G48" s="14">
        <f t="shared" ca="1" si="1"/>
        <v>1635</v>
      </c>
      <c r="H48" s="15"/>
    </row>
    <row r="49" spans="1:8" x14ac:dyDescent="0.25">
      <c r="A49" s="6" t="str">
        <f>Produtos!A24</f>
        <v>PT-FRANG-002</v>
      </c>
      <c r="B49" s="7"/>
      <c r="C49" s="6">
        <f t="shared" ca="1" si="0"/>
        <v>135</v>
      </c>
      <c r="D49" s="7"/>
      <c r="E49" s="14">
        <f ca="1">Produtos!I24</f>
        <v>4.5</v>
      </c>
      <c r="F49" s="15"/>
      <c r="G49" s="14">
        <f t="shared" ca="1" si="1"/>
        <v>607.5</v>
      </c>
      <c r="H49" s="15"/>
    </row>
    <row r="50" spans="1:8" x14ac:dyDescent="0.25">
      <c r="A50" s="6" t="str">
        <f>Produtos!A25</f>
        <v>PT-FRANG-003</v>
      </c>
      <c r="B50" s="7"/>
      <c r="C50" s="6">
        <f t="shared" ca="1" si="0"/>
        <v>51</v>
      </c>
      <c r="D50" s="7"/>
      <c r="E50" s="14">
        <f ca="1">Produtos!I25</f>
        <v>5</v>
      </c>
      <c r="F50" s="15"/>
      <c r="G50" s="14">
        <f t="shared" ca="1" si="1"/>
        <v>255</v>
      </c>
      <c r="H50" s="15"/>
    </row>
    <row r="56" spans="1:8" x14ac:dyDescent="0.25">
      <c r="E56" s="1"/>
    </row>
  </sheetData>
  <mergeCells count="202">
    <mergeCell ref="K3:L3"/>
    <mergeCell ref="K2:L2"/>
    <mergeCell ref="G50:H50"/>
    <mergeCell ref="E50:F50"/>
    <mergeCell ref="G44:H44"/>
    <mergeCell ref="G45:H45"/>
    <mergeCell ref="G46:H46"/>
    <mergeCell ref="G47:H47"/>
    <mergeCell ref="G48:H48"/>
    <mergeCell ref="G49:H49"/>
    <mergeCell ref="G38:H38"/>
    <mergeCell ref="G39:H39"/>
    <mergeCell ref="G40:H40"/>
    <mergeCell ref="G41:H41"/>
    <mergeCell ref="G42:H42"/>
    <mergeCell ref="G43:H43"/>
    <mergeCell ref="E48:F48"/>
    <mergeCell ref="E49:F49"/>
    <mergeCell ref="G32:H32"/>
    <mergeCell ref="G33:H33"/>
    <mergeCell ref="G34:H34"/>
    <mergeCell ref="G35:H35"/>
    <mergeCell ref="G36:H36"/>
    <mergeCell ref="G37:H37"/>
    <mergeCell ref="G29:H29"/>
    <mergeCell ref="G30:H30"/>
    <mergeCell ref="G31:H31"/>
    <mergeCell ref="G20:H20"/>
    <mergeCell ref="G21:H21"/>
    <mergeCell ref="G22:H22"/>
    <mergeCell ref="G23:H23"/>
    <mergeCell ref="G24:H24"/>
    <mergeCell ref="G25:H25"/>
    <mergeCell ref="E46:F46"/>
    <mergeCell ref="E47:F47"/>
    <mergeCell ref="E43:F43"/>
    <mergeCell ref="E44:F44"/>
    <mergeCell ref="E24:F24"/>
    <mergeCell ref="E25:F25"/>
    <mergeCell ref="E26:F26"/>
    <mergeCell ref="E15:F15"/>
    <mergeCell ref="E16:F16"/>
    <mergeCell ref="E17:F17"/>
    <mergeCell ref="E18:F18"/>
    <mergeCell ref="E19:F19"/>
    <mergeCell ref="E20:F20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38:F38"/>
    <mergeCell ref="E27:F27"/>
    <mergeCell ref="E10:F10"/>
    <mergeCell ref="E11:F11"/>
    <mergeCell ref="E12:F12"/>
    <mergeCell ref="G3:H3"/>
    <mergeCell ref="G4:H4"/>
    <mergeCell ref="G5:H5"/>
    <mergeCell ref="G6:H6"/>
    <mergeCell ref="G7:H7"/>
    <mergeCell ref="E45:F45"/>
    <mergeCell ref="G14:H14"/>
    <mergeCell ref="G15:H15"/>
    <mergeCell ref="G16:H16"/>
    <mergeCell ref="G17:H17"/>
    <mergeCell ref="G18:H18"/>
    <mergeCell ref="G19:H19"/>
    <mergeCell ref="G8:H8"/>
    <mergeCell ref="G9:H9"/>
    <mergeCell ref="G10:H10"/>
    <mergeCell ref="G11:H11"/>
    <mergeCell ref="G12:H12"/>
    <mergeCell ref="G13:H13"/>
    <mergeCell ref="G26:H26"/>
    <mergeCell ref="G27:H27"/>
    <mergeCell ref="G28:H28"/>
    <mergeCell ref="E28:F28"/>
    <mergeCell ref="E29:F29"/>
    <mergeCell ref="E30:F30"/>
    <mergeCell ref="E31:F31"/>
    <mergeCell ref="E32:F32"/>
    <mergeCell ref="E21:F21"/>
    <mergeCell ref="E22:F22"/>
    <mergeCell ref="E23:F23"/>
    <mergeCell ref="E13:F13"/>
    <mergeCell ref="E14:F14"/>
    <mergeCell ref="C33:D33"/>
    <mergeCell ref="C34:D34"/>
    <mergeCell ref="C35:D35"/>
    <mergeCell ref="C36:D36"/>
    <mergeCell ref="C37:D37"/>
    <mergeCell ref="C38:D38"/>
    <mergeCell ref="C27:D27"/>
    <mergeCell ref="C28:D28"/>
    <mergeCell ref="C29:D29"/>
    <mergeCell ref="C30:D30"/>
    <mergeCell ref="C31:D31"/>
    <mergeCell ref="C32:D32"/>
    <mergeCell ref="C46:D46"/>
    <mergeCell ref="C47:D47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45:D45"/>
    <mergeCell ref="C26:D26"/>
    <mergeCell ref="C15:D15"/>
    <mergeCell ref="C16:D16"/>
    <mergeCell ref="C17:D17"/>
    <mergeCell ref="C18:D18"/>
    <mergeCell ref="C19:D19"/>
    <mergeCell ref="C20:D20"/>
    <mergeCell ref="C10:D10"/>
    <mergeCell ref="C11:D11"/>
    <mergeCell ref="C12:D12"/>
    <mergeCell ref="C13:D13"/>
    <mergeCell ref="C14:D14"/>
    <mergeCell ref="C21:D21"/>
    <mergeCell ref="C22:D22"/>
    <mergeCell ref="C23:D23"/>
    <mergeCell ref="C24:D24"/>
    <mergeCell ref="C25:D25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10:B10"/>
    <mergeCell ref="A11:B11"/>
    <mergeCell ref="A12:B12"/>
    <mergeCell ref="A13:B13"/>
    <mergeCell ref="A14:B14"/>
    <mergeCell ref="A3:B3"/>
    <mergeCell ref="A4:B4"/>
    <mergeCell ref="A5:B5"/>
    <mergeCell ref="A6:B6"/>
    <mergeCell ref="A7:B7"/>
    <mergeCell ref="A8:B8"/>
    <mergeCell ref="G1:H1"/>
    <mergeCell ref="A2:B2"/>
    <mergeCell ref="C2:D2"/>
    <mergeCell ref="E2:F2"/>
    <mergeCell ref="G2:H2"/>
    <mergeCell ref="A1:B1"/>
    <mergeCell ref="C1:D1"/>
    <mergeCell ref="E1:F1"/>
    <mergeCell ref="A9:B9"/>
    <mergeCell ref="C9:D9"/>
    <mergeCell ref="E9:F9"/>
    <mergeCell ref="C3:D3"/>
    <mergeCell ref="C4:D4"/>
    <mergeCell ref="C5:D5"/>
    <mergeCell ref="C6:D6"/>
    <mergeCell ref="C7:D7"/>
    <mergeCell ref="C8:D8"/>
    <mergeCell ref="E3:F3"/>
    <mergeCell ref="E4:F4"/>
    <mergeCell ref="E5:F5"/>
    <mergeCell ref="E6:F6"/>
    <mergeCell ref="E7:F7"/>
    <mergeCell ref="E8:F8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F47D1-02A3-4EA0-AF62-F57DFE9EF5C1}">
  <dimension ref="A1:O50"/>
  <sheetViews>
    <sheetView workbookViewId="0">
      <selection activeCell="O2" sqref="O2"/>
    </sheetView>
  </sheetViews>
  <sheetFormatPr defaultRowHeight="15" x14ac:dyDescent="0.25"/>
  <sheetData>
    <row r="1" spans="1:15" x14ac:dyDescent="0.25">
      <c r="A1" s="8" t="s">
        <v>0</v>
      </c>
      <c r="B1" s="8"/>
      <c r="C1" s="8" t="s">
        <v>102</v>
      </c>
      <c r="D1" s="8"/>
      <c r="E1" s="8" t="s">
        <v>103</v>
      </c>
      <c r="F1" s="8"/>
      <c r="G1" s="8" t="s">
        <v>104</v>
      </c>
      <c r="H1" s="8"/>
      <c r="I1" s="8" t="s">
        <v>105</v>
      </c>
      <c r="J1" s="8"/>
      <c r="K1" s="8" t="s">
        <v>106</v>
      </c>
      <c r="L1" s="8"/>
      <c r="M1" s="8" t="s">
        <v>108</v>
      </c>
      <c r="N1" s="8"/>
    </row>
    <row r="2" spans="1:15" x14ac:dyDescent="0.25">
      <c r="A2" s="10" t="str">
        <f>Movimentação!G2</f>
        <v>ARZ-001</v>
      </c>
      <c r="B2" s="10"/>
      <c r="C2" s="10">
        <f ca="1">RANDBETWEEN(150,999)</f>
        <v>854</v>
      </c>
      <c r="D2" s="10"/>
      <c r="E2" s="10">
        <f ca="1">RANDBETWEEN(150,999)</f>
        <v>414</v>
      </c>
      <c r="F2" s="10"/>
      <c r="G2" s="10">
        <f ca="1">RANDBETWEEN(150,999)</f>
        <v>924</v>
      </c>
      <c r="H2" s="10"/>
      <c r="I2" s="10">
        <f ca="1">RANDBETWEEN(150,999)</f>
        <v>631</v>
      </c>
      <c r="J2" s="10"/>
      <c r="K2" s="10">
        <f ca="1">RANDBETWEEN(150,999)</f>
        <v>488</v>
      </c>
      <c r="L2" s="10"/>
      <c r="M2" s="10">
        <f ca="1">RANDBETWEEN(150,999)</f>
        <v>272</v>
      </c>
      <c r="N2" s="10"/>
      <c r="O2" s="1"/>
    </row>
    <row r="3" spans="1:15" x14ac:dyDescent="0.25">
      <c r="A3" s="10" t="str">
        <f>Movimentação!G3</f>
        <v>ARZ-002</v>
      </c>
      <c r="B3" s="10"/>
      <c r="C3" s="10">
        <f t="shared" ref="C3:C50" ca="1" si="0">RANDBETWEEN(150,999)</f>
        <v>202</v>
      </c>
      <c r="D3" s="10"/>
      <c r="E3" s="10">
        <f t="shared" ref="E3:E50" ca="1" si="1">RANDBETWEEN(150,999)</f>
        <v>334</v>
      </c>
      <c r="F3" s="10"/>
      <c r="G3" s="10">
        <f t="shared" ref="G3:G50" ca="1" si="2">RANDBETWEEN(150,999)</f>
        <v>863</v>
      </c>
      <c r="H3" s="10"/>
      <c r="I3" s="10">
        <f t="shared" ref="I3:I50" ca="1" si="3">RANDBETWEEN(150,999)</f>
        <v>710</v>
      </c>
      <c r="J3" s="10"/>
      <c r="K3" s="10">
        <f t="shared" ref="K3:K50" ca="1" si="4">RANDBETWEEN(150,999)</f>
        <v>366</v>
      </c>
      <c r="L3" s="10"/>
      <c r="M3" s="10">
        <f t="shared" ref="M3:M50" ca="1" si="5">RANDBETWEEN(150,999)</f>
        <v>692</v>
      </c>
      <c r="N3" s="10"/>
    </row>
    <row r="4" spans="1:15" x14ac:dyDescent="0.25">
      <c r="A4" s="10" t="str">
        <f>Movimentação!G4</f>
        <v>ARZ-003</v>
      </c>
      <c r="B4" s="10"/>
      <c r="C4" s="10">
        <f t="shared" ca="1" si="0"/>
        <v>389</v>
      </c>
      <c r="D4" s="10"/>
      <c r="E4" s="10">
        <f t="shared" ca="1" si="1"/>
        <v>787</v>
      </c>
      <c r="F4" s="10"/>
      <c r="G4" s="10">
        <f t="shared" ca="1" si="2"/>
        <v>419</v>
      </c>
      <c r="H4" s="10"/>
      <c r="I4" s="10">
        <f t="shared" ca="1" si="3"/>
        <v>641</v>
      </c>
      <c r="J4" s="10"/>
      <c r="K4" s="10">
        <f t="shared" ca="1" si="4"/>
        <v>710</v>
      </c>
      <c r="L4" s="10"/>
      <c r="M4" s="10">
        <f t="shared" ca="1" si="5"/>
        <v>152</v>
      </c>
      <c r="N4" s="10"/>
    </row>
    <row r="5" spans="1:15" x14ac:dyDescent="0.25">
      <c r="A5" s="10" t="str">
        <f>Movimentação!G5</f>
        <v>MAC-001</v>
      </c>
      <c r="B5" s="10"/>
      <c r="C5" s="10">
        <f t="shared" ca="1" si="0"/>
        <v>765</v>
      </c>
      <c r="D5" s="10"/>
      <c r="E5" s="10">
        <f t="shared" ca="1" si="1"/>
        <v>523</v>
      </c>
      <c r="F5" s="10"/>
      <c r="G5" s="10">
        <f t="shared" ca="1" si="2"/>
        <v>195</v>
      </c>
      <c r="H5" s="10"/>
      <c r="I5" s="10">
        <f t="shared" ca="1" si="3"/>
        <v>842</v>
      </c>
      <c r="J5" s="10"/>
      <c r="K5" s="10">
        <f t="shared" ca="1" si="4"/>
        <v>968</v>
      </c>
      <c r="L5" s="10"/>
      <c r="M5" s="10">
        <f t="shared" ca="1" si="5"/>
        <v>498</v>
      </c>
      <c r="N5" s="10"/>
    </row>
    <row r="6" spans="1:15" x14ac:dyDescent="0.25">
      <c r="A6" s="10" t="str">
        <f>Movimentação!G6</f>
        <v>MAC-002</v>
      </c>
      <c r="B6" s="10"/>
      <c r="C6" s="10">
        <f t="shared" ca="1" si="0"/>
        <v>432</v>
      </c>
      <c r="D6" s="10"/>
      <c r="E6" s="10">
        <f t="shared" ca="1" si="1"/>
        <v>560</v>
      </c>
      <c r="F6" s="10"/>
      <c r="G6" s="10">
        <f t="shared" ca="1" si="2"/>
        <v>734</v>
      </c>
      <c r="H6" s="10"/>
      <c r="I6" s="10">
        <f t="shared" ca="1" si="3"/>
        <v>738</v>
      </c>
      <c r="J6" s="10"/>
      <c r="K6" s="10">
        <f t="shared" ca="1" si="4"/>
        <v>614</v>
      </c>
      <c r="L6" s="10"/>
      <c r="M6" s="10">
        <f t="shared" ca="1" si="5"/>
        <v>546</v>
      </c>
      <c r="N6" s="10"/>
    </row>
    <row r="7" spans="1:15" x14ac:dyDescent="0.25">
      <c r="A7" s="10" t="str">
        <f>Movimentação!G7</f>
        <v>MAC-003</v>
      </c>
      <c r="B7" s="10"/>
      <c r="C7" s="10">
        <f t="shared" ca="1" si="0"/>
        <v>813</v>
      </c>
      <c r="D7" s="10"/>
      <c r="E7" s="10">
        <f t="shared" ca="1" si="1"/>
        <v>183</v>
      </c>
      <c r="F7" s="10"/>
      <c r="G7" s="10">
        <f t="shared" ca="1" si="2"/>
        <v>606</v>
      </c>
      <c r="H7" s="10"/>
      <c r="I7" s="10">
        <f t="shared" ca="1" si="3"/>
        <v>442</v>
      </c>
      <c r="J7" s="10"/>
      <c r="K7" s="10">
        <f t="shared" ca="1" si="4"/>
        <v>564</v>
      </c>
      <c r="L7" s="10"/>
      <c r="M7" s="10">
        <f t="shared" ca="1" si="5"/>
        <v>368</v>
      </c>
      <c r="N7" s="10"/>
    </row>
    <row r="8" spans="1:15" x14ac:dyDescent="0.25">
      <c r="A8" s="10" t="str">
        <f>Movimentação!G8</f>
        <v>FEI-001</v>
      </c>
      <c r="B8" s="10"/>
      <c r="C8" s="10">
        <f t="shared" ca="1" si="0"/>
        <v>568</v>
      </c>
      <c r="D8" s="10"/>
      <c r="E8" s="10">
        <f t="shared" ca="1" si="1"/>
        <v>731</v>
      </c>
      <c r="F8" s="10"/>
      <c r="G8" s="10">
        <f t="shared" ca="1" si="2"/>
        <v>585</v>
      </c>
      <c r="H8" s="10"/>
      <c r="I8" s="10">
        <f t="shared" ca="1" si="3"/>
        <v>903</v>
      </c>
      <c r="J8" s="10"/>
      <c r="K8" s="10">
        <f t="shared" ca="1" si="4"/>
        <v>926</v>
      </c>
      <c r="L8" s="10"/>
      <c r="M8" s="10">
        <f t="shared" ca="1" si="5"/>
        <v>803</v>
      </c>
      <c r="N8" s="10"/>
    </row>
    <row r="9" spans="1:15" x14ac:dyDescent="0.25">
      <c r="A9" s="10" t="str">
        <f>Movimentação!G9</f>
        <v>FEI-002</v>
      </c>
      <c r="B9" s="10"/>
      <c r="C9" s="10">
        <f t="shared" ca="1" si="0"/>
        <v>766</v>
      </c>
      <c r="D9" s="10"/>
      <c r="E9" s="10">
        <f t="shared" ca="1" si="1"/>
        <v>622</v>
      </c>
      <c r="F9" s="10"/>
      <c r="G9" s="10">
        <f t="shared" ca="1" si="2"/>
        <v>430</v>
      </c>
      <c r="H9" s="10"/>
      <c r="I9" s="10">
        <f t="shared" ca="1" si="3"/>
        <v>574</v>
      </c>
      <c r="J9" s="10"/>
      <c r="K9" s="10">
        <f t="shared" ca="1" si="4"/>
        <v>901</v>
      </c>
      <c r="L9" s="10"/>
      <c r="M9" s="10">
        <f t="shared" ca="1" si="5"/>
        <v>856</v>
      </c>
      <c r="N9" s="10"/>
    </row>
    <row r="10" spans="1:15" x14ac:dyDescent="0.25">
      <c r="A10" s="10" t="str">
        <f>Movimentação!G10</f>
        <v>FEI-003</v>
      </c>
      <c r="B10" s="10"/>
      <c r="C10" s="10">
        <f t="shared" ca="1" si="0"/>
        <v>676</v>
      </c>
      <c r="D10" s="10"/>
      <c r="E10" s="10">
        <f t="shared" ca="1" si="1"/>
        <v>835</v>
      </c>
      <c r="F10" s="10"/>
      <c r="G10" s="10">
        <f t="shared" ca="1" si="2"/>
        <v>556</v>
      </c>
      <c r="H10" s="10"/>
      <c r="I10" s="10">
        <f t="shared" ca="1" si="3"/>
        <v>783</v>
      </c>
      <c r="J10" s="10"/>
      <c r="K10" s="10">
        <f t="shared" ca="1" si="4"/>
        <v>302</v>
      </c>
      <c r="L10" s="10"/>
      <c r="M10" s="10">
        <f t="shared" ca="1" si="5"/>
        <v>277</v>
      </c>
      <c r="N10" s="10"/>
    </row>
    <row r="11" spans="1:15" x14ac:dyDescent="0.25">
      <c r="A11" s="10" t="str">
        <f>Movimentação!G11</f>
        <v>CX-CREM-LEITE-001</v>
      </c>
      <c r="B11" s="10"/>
      <c r="C11" s="10">
        <f t="shared" ca="1" si="0"/>
        <v>869</v>
      </c>
      <c r="D11" s="10"/>
      <c r="E11" s="10">
        <f t="shared" ca="1" si="1"/>
        <v>891</v>
      </c>
      <c r="F11" s="10"/>
      <c r="G11" s="10">
        <f t="shared" ca="1" si="2"/>
        <v>992</v>
      </c>
      <c r="H11" s="10"/>
      <c r="I11" s="10">
        <f t="shared" ca="1" si="3"/>
        <v>601</v>
      </c>
      <c r="J11" s="10"/>
      <c r="K11" s="10">
        <f t="shared" ca="1" si="4"/>
        <v>156</v>
      </c>
      <c r="L11" s="10"/>
      <c r="M11" s="10">
        <f t="shared" ca="1" si="5"/>
        <v>939</v>
      </c>
      <c r="N11" s="10"/>
    </row>
    <row r="12" spans="1:15" x14ac:dyDescent="0.25">
      <c r="A12" s="10" t="str">
        <f>Movimentação!G12</f>
        <v>CX-CREM-LEITE-002</v>
      </c>
      <c r="B12" s="10"/>
      <c r="C12" s="10">
        <f t="shared" ca="1" si="0"/>
        <v>822</v>
      </c>
      <c r="D12" s="10"/>
      <c r="E12" s="10">
        <f t="shared" ca="1" si="1"/>
        <v>343</v>
      </c>
      <c r="F12" s="10"/>
      <c r="G12" s="10">
        <f t="shared" ca="1" si="2"/>
        <v>412</v>
      </c>
      <c r="H12" s="10"/>
      <c r="I12" s="10">
        <f t="shared" ca="1" si="3"/>
        <v>237</v>
      </c>
      <c r="J12" s="10"/>
      <c r="K12" s="10">
        <f t="shared" ca="1" si="4"/>
        <v>267</v>
      </c>
      <c r="L12" s="10"/>
      <c r="M12" s="10">
        <f t="shared" ca="1" si="5"/>
        <v>521</v>
      </c>
      <c r="N12" s="10"/>
    </row>
    <row r="13" spans="1:15" x14ac:dyDescent="0.25">
      <c r="A13" s="10" t="str">
        <f>Movimentação!G13</f>
        <v>CX-CREM-LEITE-003</v>
      </c>
      <c r="B13" s="10"/>
      <c r="C13" s="10">
        <f t="shared" ca="1" si="0"/>
        <v>499</v>
      </c>
      <c r="D13" s="10"/>
      <c r="E13" s="10">
        <f t="shared" ca="1" si="1"/>
        <v>171</v>
      </c>
      <c r="F13" s="10"/>
      <c r="G13" s="10">
        <f t="shared" ca="1" si="2"/>
        <v>167</v>
      </c>
      <c r="H13" s="10"/>
      <c r="I13" s="10">
        <f t="shared" ca="1" si="3"/>
        <v>893</v>
      </c>
      <c r="J13" s="10"/>
      <c r="K13" s="10">
        <f t="shared" ca="1" si="4"/>
        <v>919</v>
      </c>
      <c r="L13" s="10"/>
      <c r="M13" s="10">
        <f t="shared" ca="1" si="5"/>
        <v>592</v>
      </c>
      <c r="N13" s="10"/>
    </row>
    <row r="14" spans="1:15" x14ac:dyDescent="0.25">
      <c r="A14" s="10" t="str">
        <f>Movimentação!G14</f>
        <v>LT-CREM-LEITE-001</v>
      </c>
      <c r="B14" s="10"/>
      <c r="C14" s="10">
        <f t="shared" ca="1" si="0"/>
        <v>781</v>
      </c>
      <c r="D14" s="10"/>
      <c r="E14" s="10">
        <f t="shared" ca="1" si="1"/>
        <v>399</v>
      </c>
      <c r="F14" s="10"/>
      <c r="G14" s="10">
        <f t="shared" ca="1" si="2"/>
        <v>796</v>
      </c>
      <c r="H14" s="10"/>
      <c r="I14" s="10">
        <f t="shared" ca="1" si="3"/>
        <v>960</v>
      </c>
      <c r="J14" s="10"/>
      <c r="K14" s="10">
        <f t="shared" ca="1" si="4"/>
        <v>851</v>
      </c>
      <c r="L14" s="10"/>
      <c r="M14" s="10">
        <f t="shared" ca="1" si="5"/>
        <v>264</v>
      </c>
      <c r="N14" s="10"/>
    </row>
    <row r="15" spans="1:15" x14ac:dyDescent="0.25">
      <c r="A15" s="10" t="str">
        <f>Movimentação!G15</f>
        <v>LT-CREM-LEITE-002</v>
      </c>
      <c r="B15" s="10"/>
      <c r="C15" s="10">
        <f t="shared" ca="1" si="0"/>
        <v>938</v>
      </c>
      <c r="D15" s="10"/>
      <c r="E15" s="10">
        <f t="shared" ca="1" si="1"/>
        <v>456</v>
      </c>
      <c r="F15" s="10"/>
      <c r="G15" s="10">
        <f t="shared" ca="1" si="2"/>
        <v>311</v>
      </c>
      <c r="H15" s="10"/>
      <c r="I15" s="10">
        <f t="shared" ca="1" si="3"/>
        <v>157</v>
      </c>
      <c r="J15" s="10"/>
      <c r="K15" s="10">
        <f t="shared" ca="1" si="4"/>
        <v>624</v>
      </c>
      <c r="L15" s="10"/>
      <c r="M15" s="10">
        <f t="shared" ca="1" si="5"/>
        <v>680</v>
      </c>
      <c r="N15" s="10"/>
    </row>
    <row r="16" spans="1:15" x14ac:dyDescent="0.25">
      <c r="A16" s="10" t="str">
        <f>Movimentação!G16</f>
        <v>LT-CREM-LEITE-003</v>
      </c>
      <c r="B16" s="10"/>
      <c r="C16" s="10">
        <f t="shared" ca="1" si="0"/>
        <v>310</v>
      </c>
      <c r="D16" s="10"/>
      <c r="E16" s="10">
        <f t="shared" ca="1" si="1"/>
        <v>437</v>
      </c>
      <c r="F16" s="10"/>
      <c r="G16" s="10">
        <f t="shared" ca="1" si="2"/>
        <v>679</v>
      </c>
      <c r="H16" s="10"/>
      <c r="I16" s="10">
        <f t="shared" ca="1" si="3"/>
        <v>455</v>
      </c>
      <c r="J16" s="10"/>
      <c r="K16" s="10">
        <f t="shared" ca="1" si="4"/>
        <v>350</v>
      </c>
      <c r="L16" s="10"/>
      <c r="M16" s="10">
        <f t="shared" ca="1" si="5"/>
        <v>360</v>
      </c>
      <c r="N16" s="10"/>
    </row>
    <row r="17" spans="1:14" x14ac:dyDescent="0.25">
      <c r="A17" s="10" t="str">
        <f>Movimentação!G17</f>
        <v>CX-LEITE-COND-001</v>
      </c>
      <c r="B17" s="10"/>
      <c r="C17" s="10">
        <f t="shared" ca="1" si="0"/>
        <v>992</v>
      </c>
      <c r="D17" s="10"/>
      <c r="E17" s="10">
        <f t="shared" ca="1" si="1"/>
        <v>719</v>
      </c>
      <c r="F17" s="10"/>
      <c r="G17" s="10">
        <f t="shared" ca="1" si="2"/>
        <v>703</v>
      </c>
      <c r="H17" s="10"/>
      <c r="I17" s="10">
        <f t="shared" ca="1" si="3"/>
        <v>290</v>
      </c>
      <c r="J17" s="10"/>
      <c r="K17" s="10">
        <f t="shared" ca="1" si="4"/>
        <v>753</v>
      </c>
      <c r="L17" s="10"/>
      <c r="M17" s="10">
        <f t="shared" ca="1" si="5"/>
        <v>286</v>
      </c>
      <c r="N17" s="10"/>
    </row>
    <row r="18" spans="1:14" x14ac:dyDescent="0.25">
      <c r="A18" s="10" t="str">
        <f>Movimentação!G18</f>
        <v>CX-LEITE-COND-002</v>
      </c>
      <c r="B18" s="10"/>
      <c r="C18" s="10">
        <f t="shared" ca="1" si="0"/>
        <v>220</v>
      </c>
      <c r="D18" s="10"/>
      <c r="E18" s="10">
        <f t="shared" ca="1" si="1"/>
        <v>365</v>
      </c>
      <c r="F18" s="10"/>
      <c r="G18" s="10">
        <f t="shared" ca="1" si="2"/>
        <v>639</v>
      </c>
      <c r="H18" s="10"/>
      <c r="I18" s="10">
        <f t="shared" ca="1" si="3"/>
        <v>225</v>
      </c>
      <c r="J18" s="10"/>
      <c r="K18" s="10">
        <f t="shared" ca="1" si="4"/>
        <v>393</v>
      </c>
      <c r="L18" s="10"/>
      <c r="M18" s="10">
        <f t="shared" ca="1" si="5"/>
        <v>655</v>
      </c>
      <c r="N18" s="10"/>
    </row>
    <row r="19" spans="1:14" x14ac:dyDescent="0.25">
      <c r="A19" s="10" t="str">
        <f>Movimentação!G19</f>
        <v>CX-LEITE-COND-003</v>
      </c>
      <c r="B19" s="10"/>
      <c r="C19" s="10">
        <f t="shared" ca="1" si="0"/>
        <v>463</v>
      </c>
      <c r="D19" s="10"/>
      <c r="E19" s="10">
        <f t="shared" ca="1" si="1"/>
        <v>424</v>
      </c>
      <c r="F19" s="10"/>
      <c r="G19" s="10">
        <f t="shared" ca="1" si="2"/>
        <v>687</v>
      </c>
      <c r="H19" s="10"/>
      <c r="I19" s="10">
        <f t="shared" ca="1" si="3"/>
        <v>217</v>
      </c>
      <c r="J19" s="10"/>
      <c r="K19" s="10">
        <f t="shared" ca="1" si="4"/>
        <v>290</v>
      </c>
      <c r="L19" s="10"/>
      <c r="M19" s="10">
        <f t="shared" ca="1" si="5"/>
        <v>683</v>
      </c>
      <c r="N19" s="10"/>
    </row>
    <row r="20" spans="1:14" x14ac:dyDescent="0.25">
      <c r="A20" s="10" t="str">
        <f>Movimentação!G20</f>
        <v>LT-LEITE-COND-001</v>
      </c>
      <c r="B20" s="10"/>
      <c r="C20" s="10">
        <f t="shared" ca="1" si="0"/>
        <v>571</v>
      </c>
      <c r="D20" s="10"/>
      <c r="E20" s="10">
        <f t="shared" ca="1" si="1"/>
        <v>193</v>
      </c>
      <c r="F20" s="10"/>
      <c r="G20" s="10">
        <f t="shared" ca="1" si="2"/>
        <v>701</v>
      </c>
      <c r="H20" s="10"/>
      <c r="I20" s="10">
        <f t="shared" ca="1" si="3"/>
        <v>308</v>
      </c>
      <c r="J20" s="10"/>
      <c r="K20" s="10">
        <f t="shared" ca="1" si="4"/>
        <v>714</v>
      </c>
      <c r="L20" s="10"/>
      <c r="M20" s="10">
        <f t="shared" ca="1" si="5"/>
        <v>589</v>
      </c>
      <c r="N20" s="10"/>
    </row>
    <row r="21" spans="1:14" x14ac:dyDescent="0.25">
      <c r="A21" s="10" t="str">
        <f>Movimentação!G21</f>
        <v>LT-LEITE-COND-002</v>
      </c>
      <c r="B21" s="10"/>
      <c r="C21" s="10">
        <f t="shared" ca="1" si="0"/>
        <v>394</v>
      </c>
      <c r="D21" s="10"/>
      <c r="E21" s="10">
        <f t="shared" ca="1" si="1"/>
        <v>482</v>
      </c>
      <c r="F21" s="10"/>
      <c r="G21" s="10">
        <f t="shared" ca="1" si="2"/>
        <v>370</v>
      </c>
      <c r="H21" s="10"/>
      <c r="I21" s="10">
        <f t="shared" ca="1" si="3"/>
        <v>342</v>
      </c>
      <c r="J21" s="10"/>
      <c r="K21" s="10">
        <f t="shared" ca="1" si="4"/>
        <v>443</v>
      </c>
      <c r="L21" s="10"/>
      <c r="M21" s="10">
        <f t="shared" ca="1" si="5"/>
        <v>872</v>
      </c>
      <c r="N21" s="10"/>
    </row>
    <row r="22" spans="1:14" x14ac:dyDescent="0.25">
      <c r="A22" s="10" t="str">
        <f>Movimentação!G22</f>
        <v>LT-LEITE-COND-003</v>
      </c>
      <c r="B22" s="10"/>
      <c r="C22" s="10">
        <f t="shared" ca="1" si="0"/>
        <v>716</v>
      </c>
      <c r="D22" s="10"/>
      <c r="E22" s="10">
        <f t="shared" ca="1" si="1"/>
        <v>514</v>
      </c>
      <c r="F22" s="10"/>
      <c r="G22" s="10">
        <f t="shared" ca="1" si="2"/>
        <v>573</v>
      </c>
      <c r="H22" s="10"/>
      <c r="I22" s="10">
        <f t="shared" ca="1" si="3"/>
        <v>377</v>
      </c>
      <c r="J22" s="10"/>
      <c r="K22" s="10">
        <f t="shared" ca="1" si="4"/>
        <v>824</v>
      </c>
      <c r="L22" s="10"/>
      <c r="M22" s="10">
        <f t="shared" ca="1" si="5"/>
        <v>304</v>
      </c>
      <c r="N22" s="10"/>
    </row>
    <row r="23" spans="1:14" x14ac:dyDescent="0.25">
      <c r="A23" s="10" t="str">
        <f>Movimentação!G23</f>
        <v>PT-FRANG-001</v>
      </c>
      <c r="B23" s="10"/>
      <c r="C23" s="10">
        <f t="shared" ca="1" si="0"/>
        <v>835</v>
      </c>
      <c r="D23" s="10"/>
      <c r="E23" s="10">
        <f t="shared" ca="1" si="1"/>
        <v>877</v>
      </c>
      <c r="F23" s="10"/>
      <c r="G23" s="10">
        <f t="shared" ca="1" si="2"/>
        <v>275</v>
      </c>
      <c r="H23" s="10"/>
      <c r="I23" s="10">
        <f t="shared" ca="1" si="3"/>
        <v>334</v>
      </c>
      <c r="J23" s="10"/>
      <c r="K23" s="10">
        <f t="shared" ca="1" si="4"/>
        <v>762</v>
      </c>
      <c r="L23" s="10"/>
      <c r="M23" s="10">
        <f t="shared" ca="1" si="5"/>
        <v>169</v>
      </c>
      <c r="N23" s="10"/>
    </row>
    <row r="24" spans="1:14" x14ac:dyDescent="0.25">
      <c r="A24" s="10" t="str">
        <f>Movimentação!G24</f>
        <v>PT-FRANG-002</v>
      </c>
      <c r="B24" s="10"/>
      <c r="C24" s="10">
        <f t="shared" ca="1" si="0"/>
        <v>521</v>
      </c>
      <c r="D24" s="10"/>
      <c r="E24" s="10">
        <f t="shared" ca="1" si="1"/>
        <v>536</v>
      </c>
      <c r="F24" s="10"/>
      <c r="G24" s="10">
        <f t="shared" ca="1" si="2"/>
        <v>973</v>
      </c>
      <c r="H24" s="10"/>
      <c r="I24" s="10">
        <f t="shared" ca="1" si="3"/>
        <v>589</v>
      </c>
      <c r="J24" s="10"/>
      <c r="K24" s="10">
        <f t="shared" ca="1" si="4"/>
        <v>655</v>
      </c>
      <c r="L24" s="10"/>
      <c r="M24" s="10">
        <f t="shared" ca="1" si="5"/>
        <v>489</v>
      </c>
      <c r="N24" s="10"/>
    </row>
    <row r="25" spans="1:14" x14ac:dyDescent="0.25">
      <c r="A25" s="10" t="str">
        <f>Movimentação!G25</f>
        <v>PT-FRANG-003</v>
      </c>
      <c r="B25" s="10"/>
      <c r="C25" s="10">
        <f t="shared" ca="1" si="0"/>
        <v>289</v>
      </c>
      <c r="D25" s="10"/>
      <c r="E25" s="10">
        <f t="shared" ca="1" si="1"/>
        <v>191</v>
      </c>
      <c r="F25" s="10"/>
      <c r="G25" s="10">
        <f t="shared" ca="1" si="2"/>
        <v>176</v>
      </c>
      <c r="H25" s="10"/>
      <c r="I25" s="10">
        <f t="shared" ca="1" si="3"/>
        <v>865</v>
      </c>
      <c r="J25" s="10"/>
      <c r="K25" s="10">
        <f t="shared" ca="1" si="4"/>
        <v>543</v>
      </c>
      <c r="L25" s="10"/>
      <c r="M25" s="10">
        <f t="shared" ca="1" si="5"/>
        <v>861</v>
      </c>
      <c r="N25" s="10"/>
    </row>
    <row r="26" spans="1:14" x14ac:dyDescent="0.25">
      <c r="A26" s="10" t="str">
        <f>Movimentação!G26</f>
        <v>COX-FRANG-001</v>
      </c>
      <c r="B26" s="10"/>
      <c r="C26" s="10">
        <f t="shared" ca="1" si="0"/>
        <v>571</v>
      </c>
      <c r="D26" s="10"/>
      <c r="E26" s="10">
        <f t="shared" ca="1" si="1"/>
        <v>543</v>
      </c>
      <c r="F26" s="10"/>
      <c r="G26" s="10">
        <f t="shared" ca="1" si="2"/>
        <v>610</v>
      </c>
      <c r="H26" s="10"/>
      <c r="I26" s="10">
        <f t="shared" ca="1" si="3"/>
        <v>560</v>
      </c>
      <c r="J26" s="10"/>
      <c r="K26" s="10">
        <f t="shared" ca="1" si="4"/>
        <v>303</v>
      </c>
      <c r="L26" s="10"/>
      <c r="M26" s="10">
        <f t="shared" ca="1" si="5"/>
        <v>437</v>
      </c>
      <c r="N26" s="10"/>
    </row>
    <row r="27" spans="1:14" x14ac:dyDescent="0.25">
      <c r="A27" s="10" t="str">
        <f>Movimentação!G27</f>
        <v>COX-FRANG-002</v>
      </c>
      <c r="B27" s="10"/>
      <c r="C27" s="10">
        <f t="shared" ca="1" si="0"/>
        <v>221</v>
      </c>
      <c r="D27" s="10"/>
      <c r="E27" s="10">
        <f t="shared" ca="1" si="1"/>
        <v>362</v>
      </c>
      <c r="F27" s="10"/>
      <c r="G27" s="10">
        <f t="shared" ca="1" si="2"/>
        <v>365</v>
      </c>
      <c r="H27" s="10"/>
      <c r="I27" s="10">
        <f t="shared" ca="1" si="3"/>
        <v>439</v>
      </c>
      <c r="J27" s="10"/>
      <c r="K27" s="10">
        <f t="shared" ca="1" si="4"/>
        <v>460</v>
      </c>
      <c r="L27" s="10"/>
      <c r="M27" s="10">
        <f t="shared" ca="1" si="5"/>
        <v>943</v>
      </c>
      <c r="N27" s="10"/>
    </row>
    <row r="28" spans="1:14" x14ac:dyDescent="0.25">
      <c r="A28" s="10" t="str">
        <f>Movimentação!G28</f>
        <v>COX-FRANG-003</v>
      </c>
      <c r="B28" s="10"/>
      <c r="C28" s="10">
        <f t="shared" ca="1" si="0"/>
        <v>755</v>
      </c>
      <c r="D28" s="10"/>
      <c r="E28" s="10">
        <f t="shared" ca="1" si="1"/>
        <v>486</v>
      </c>
      <c r="F28" s="10"/>
      <c r="G28" s="10">
        <f t="shared" ca="1" si="2"/>
        <v>976</v>
      </c>
      <c r="H28" s="10"/>
      <c r="I28" s="10">
        <f t="shared" ca="1" si="3"/>
        <v>650</v>
      </c>
      <c r="J28" s="10"/>
      <c r="K28" s="10">
        <f t="shared" ca="1" si="4"/>
        <v>213</v>
      </c>
      <c r="L28" s="10"/>
      <c r="M28" s="10">
        <f t="shared" ca="1" si="5"/>
        <v>324</v>
      </c>
      <c r="N28" s="10"/>
    </row>
    <row r="29" spans="1:14" x14ac:dyDescent="0.25">
      <c r="A29" s="10" t="str">
        <f>Movimentação!G29</f>
        <v>REFRIG-001</v>
      </c>
      <c r="B29" s="10"/>
      <c r="C29" s="10">
        <f t="shared" ca="1" si="0"/>
        <v>404</v>
      </c>
      <c r="D29" s="10"/>
      <c r="E29" s="10">
        <f t="shared" ca="1" si="1"/>
        <v>753</v>
      </c>
      <c r="F29" s="10"/>
      <c r="G29" s="10">
        <f t="shared" ca="1" si="2"/>
        <v>293</v>
      </c>
      <c r="H29" s="10"/>
      <c r="I29" s="10">
        <f t="shared" ca="1" si="3"/>
        <v>564</v>
      </c>
      <c r="J29" s="10"/>
      <c r="K29" s="10">
        <f t="shared" ca="1" si="4"/>
        <v>730</v>
      </c>
      <c r="L29" s="10"/>
      <c r="M29" s="10">
        <f t="shared" ca="1" si="5"/>
        <v>971</v>
      </c>
      <c r="N29" s="10"/>
    </row>
    <row r="30" spans="1:14" x14ac:dyDescent="0.25">
      <c r="A30" s="10" t="str">
        <f>Movimentação!G30</f>
        <v>REFRIG-002</v>
      </c>
      <c r="B30" s="10"/>
      <c r="C30" s="10">
        <f t="shared" ca="1" si="0"/>
        <v>340</v>
      </c>
      <c r="D30" s="10"/>
      <c r="E30" s="10">
        <f t="shared" ca="1" si="1"/>
        <v>578</v>
      </c>
      <c r="F30" s="10"/>
      <c r="G30" s="10">
        <f t="shared" ca="1" si="2"/>
        <v>196</v>
      </c>
      <c r="H30" s="10"/>
      <c r="I30" s="10">
        <f t="shared" ca="1" si="3"/>
        <v>177</v>
      </c>
      <c r="J30" s="10"/>
      <c r="K30" s="10">
        <f t="shared" ca="1" si="4"/>
        <v>982</v>
      </c>
      <c r="L30" s="10"/>
      <c r="M30" s="10">
        <f t="shared" ca="1" si="5"/>
        <v>932</v>
      </c>
      <c r="N30" s="10"/>
    </row>
    <row r="31" spans="1:14" x14ac:dyDescent="0.25">
      <c r="A31" s="10" t="str">
        <f>Movimentação!G31</f>
        <v>REFRIG-003</v>
      </c>
      <c r="B31" s="10"/>
      <c r="C31" s="10">
        <f t="shared" ca="1" si="0"/>
        <v>424</v>
      </c>
      <c r="D31" s="10"/>
      <c r="E31" s="10">
        <f t="shared" ca="1" si="1"/>
        <v>696</v>
      </c>
      <c r="F31" s="10"/>
      <c r="G31" s="10">
        <f t="shared" ca="1" si="2"/>
        <v>631</v>
      </c>
      <c r="H31" s="10"/>
      <c r="I31" s="10">
        <f t="shared" ca="1" si="3"/>
        <v>790</v>
      </c>
      <c r="J31" s="10"/>
      <c r="K31" s="10">
        <f t="shared" ca="1" si="4"/>
        <v>461</v>
      </c>
      <c r="L31" s="10"/>
      <c r="M31" s="10">
        <f t="shared" ca="1" si="5"/>
        <v>740</v>
      </c>
      <c r="N31" s="10"/>
    </row>
    <row r="32" spans="1:14" x14ac:dyDescent="0.25">
      <c r="A32" s="10" t="str">
        <f>Movimentação!G32</f>
        <v>TEMP-001</v>
      </c>
      <c r="B32" s="10"/>
      <c r="C32" s="10">
        <f t="shared" ca="1" si="0"/>
        <v>831</v>
      </c>
      <c r="D32" s="10"/>
      <c r="E32" s="10">
        <f t="shared" ca="1" si="1"/>
        <v>733</v>
      </c>
      <c r="F32" s="10"/>
      <c r="G32" s="10">
        <f t="shared" ca="1" si="2"/>
        <v>664</v>
      </c>
      <c r="H32" s="10"/>
      <c r="I32" s="10">
        <f t="shared" ca="1" si="3"/>
        <v>694</v>
      </c>
      <c r="J32" s="10"/>
      <c r="K32" s="10">
        <f t="shared" ca="1" si="4"/>
        <v>951</v>
      </c>
      <c r="L32" s="10"/>
      <c r="M32" s="10">
        <f t="shared" ca="1" si="5"/>
        <v>726</v>
      </c>
      <c r="N32" s="10"/>
    </row>
    <row r="33" spans="1:14" x14ac:dyDescent="0.25">
      <c r="A33" s="10" t="str">
        <f>Movimentação!G33</f>
        <v>TEMP-002</v>
      </c>
      <c r="B33" s="10"/>
      <c r="C33" s="10">
        <f t="shared" ca="1" si="0"/>
        <v>761</v>
      </c>
      <c r="D33" s="10"/>
      <c r="E33" s="10">
        <f t="shared" ca="1" si="1"/>
        <v>222</v>
      </c>
      <c r="F33" s="10"/>
      <c r="G33" s="10">
        <f t="shared" ca="1" si="2"/>
        <v>321</v>
      </c>
      <c r="H33" s="10"/>
      <c r="I33" s="10">
        <f t="shared" ca="1" si="3"/>
        <v>808</v>
      </c>
      <c r="J33" s="10"/>
      <c r="K33" s="10">
        <f t="shared" ca="1" si="4"/>
        <v>650</v>
      </c>
      <c r="L33" s="10"/>
      <c r="M33" s="10">
        <f t="shared" ca="1" si="5"/>
        <v>761</v>
      </c>
      <c r="N33" s="10"/>
    </row>
    <row r="34" spans="1:14" x14ac:dyDescent="0.25">
      <c r="A34" s="10" t="str">
        <f>Movimentação!G34</f>
        <v>TEMP-003</v>
      </c>
      <c r="B34" s="10"/>
      <c r="C34" s="10">
        <f t="shared" ca="1" si="0"/>
        <v>476</v>
      </c>
      <c r="D34" s="10"/>
      <c r="E34" s="10">
        <f t="shared" ca="1" si="1"/>
        <v>829</v>
      </c>
      <c r="F34" s="10"/>
      <c r="G34" s="10">
        <f t="shared" ca="1" si="2"/>
        <v>299</v>
      </c>
      <c r="H34" s="10"/>
      <c r="I34" s="10">
        <f t="shared" ca="1" si="3"/>
        <v>271</v>
      </c>
      <c r="J34" s="10"/>
      <c r="K34" s="10">
        <f t="shared" ca="1" si="4"/>
        <v>436</v>
      </c>
      <c r="L34" s="10"/>
      <c r="M34" s="10">
        <f t="shared" ca="1" si="5"/>
        <v>632</v>
      </c>
      <c r="N34" s="10"/>
    </row>
    <row r="35" spans="1:14" x14ac:dyDescent="0.25">
      <c r="A35" s="10" t="str">
        <f>Movimentação!G35</f>
        <v>BOLACH-001</v>
      </c>
      <c r="B35" s="10"/>
      <c r="C35" s="10">
        <f t="shared" ca="1" si="0"/>
        <v>492</v>
      </c>
      <c r="D35" s="10"/>
      <c r="E35" s="10">
        <f t="shared" ca="1" si="1"/>
        <v>406</v>
      </c>
      <c r="F35" s="10"/>
      <c r="G35" s="10">
        <f t="shared" ca="1" si="2"/>
        <v>598</v>
      </c>
      <c r="H35" s="10"/>
      <c r="I35" s="10">
        <f t="shared" ca="1" si="3"/>
        <v>669</v>
      </c>
      <c r="J35" s="10"/>
      <c r="K35" s="10">
        <f t="shared" ca="1" si="4"/>
        <v>401</v>
      </c>
      <c r="L35" s="10"/>
      <c r="M35" s="10">
        <f t="shared" ca="1" si="5"/>
        <v>415</v>
      </c>
      <c r="N35" s="10"/>
    </row>
    <row r="36" spans="1:14" x14ac:dyDescent="0.25">
      <c r="A36" s="10" t="str">
        <f>Movimentação!G36</f>
        <v>BOLACH-002</v>
      </c>
      <c r="B36" s="10"/>
      <c r="C36" s="10">
        <f t="shared" ca="1" si="0"/>
        <v>738</v>
      </c>
      <c r="D36" s="10"/>
      <c r="E36" s="10">
        <f t="shared" ca="1" si="1"/>
        <v>655</v>
      </c>
      <c r="F36" s="10"/>
      <c r="G36" s="10">
        <f t="shared" ca="1" si="2"/>
        <v>959</v>
      </c>
      <c r="H36" s="10"/>
      <c r="I36" s="10">
        <f t="shared" ca="1" si="3"/>
        <v>639</v>
      </c>
      <c r="J36" s="10"/>
      <c r="K36" s="10">
        <f t="shared" ca="1" si="4"/>
        <v>330</v>
      </c>
      <c r="L36" s="10"/>
      <c r="M36" s="10">
        <f t="shared" ca="1" si="5"/>
        <v>330</v>
      </c>
      <c r="N36" s="10"/>
    </row>
    <row r="37" spans="1:14" x14ac:dyDescent="0.25">
      <c r="A37" s="10" t="str">
        <f>Movimentação!G37</f>
        <v>BOLACH-003</v>
      </c>
      <c r="B37" s="10"/>
      <c r="C37" s="10">
        <f t="shared" ca="1" si="0"/>
        <v>761</v>
      </c>
      <c r="D37" s="10"/>
      <c r="E37" s="10">
        <f t="shared" ca="1" si="1"/>
        <v>365</v>
      </c>
      <c r="F37" s="10"/>
      <c r="G37" s="10">
        <f t="shared" ca="1" si="2"/>
        <v>935</v>
      </c>
      <c r="H37" s="10"/>
      <c r="I37" s="10">
        <f t="shared" ca="1" si="3"/>
        <v>436</v>
      </c>
      <c r="J37" s="10"/>
      <c r="K37" s="10">
        <f t="shared" ca="1" si="4"/>
        <v>534</v>
      </c>
      <c r="L37" s="10"/>
      <c r="M37" s="10">
        <f t="shared" ca="1" si="5"/>
        <v>561</v>
      </c>
      <c r="N37" s="10"/>
    </row>
    <row r="38" spans="1:14" x14ac:dyDescent="0.25">
      <c r="A38" s="10" t="str">
        <f>Movimentação!G38</f>
        <v>BISC-001</v>
      </c>
      <c r="B38" s="10"/>
      <c r="C38" s="10">
        <f t="shared" ca="1" si="0"/>
        <v>178</v>
      </c>
      <c r="D38" s="10"/>
      <c r="E38" s="10">
        <f t="shared" ca="1" si="1"/>
        <v>194</v>
      </c>
      <c r="F38" s="10"/>
      <c r="G38" s="10">
        <f t="shared" ca="1" si="2"/>
        <v>857</v>
      </c>
      <c r="H38" s="10"/>
      <c r="I38" s="10">
        <f t="shared" ca="1" si="3"/>
        <v>201</v>
      </c>
      <c r="J38" s="10"/>
      <c r="K38" s="10">
        <f t="shared" ca="1" si="4"/>
        <v>532</v>
      </c>
      <c r="L38" s="10"/>
      <c r="M38" s="10">
        <f t="shared" ca="1" si="5"/>
        <v>444</v>
      </c>
      <c r="N38" s="10"/>
    </row>
    <row r="39" spans="1:14" x14ac:dyDescent="0.25">
      <c r="A39" s="10" t="str">
        <f>Movimentação!G39</f>
        <v>BISC-002</v>
      </c>
      <c r="B39" s="10"/>
      <c r="C39" s="10">
        <f t="shared" ca="1" si="0"/>
        <v>816</v>
      </c>
      <c r="D39" s="10"/>
      <c r="E39" s="10">
        <f t="shared" ca="1" si="1"/>
        <v>437</v>
      </c>
      <c r="F39" s="10"/>
      <c r="G39" s="10">
        <f t="shared" ca="1" si="2"/>
        <v>951</v>
      </c>
      <c r="H39" s="10"/>
      <c r="I39" s="10">
        <f t="shared" ca="1" si="3"/>
        <v>346</v>
      </c>
      <c r="J39" s="10"/>
      <c r="K39" s="10">
        <f t="shared" ca="1" si="4"/>
        <v>238</v>
      </c>
      <c r="L39" s="10"/>
      <c r="M39" s="10">
        <f t="shared" ca="1" si="5"/>
        <v>888</v>
      </c>
      <c r="N39" s="10"/>
    </row>
    <row r="40" spans="1:14" x14ac:dyDescent="0.25">
      <c r="A40" s="10" t="str">
        <f>Movimentação!G40</f>
        <v>BISC-003</v>
      </c>
      <c r="B40" s="10"/>
      <c r="C40" s="10">
        <f t="shared" ca="1" si="0"/>
        <v>491</v>
      </c>
      <c r="D40" s="10"/>
      <c r="E40" s="10">
        <f t="shared" ca="1" si="1"/>
        <v>515</v>
      </c>
      <c r="F40" s="10"/>
      <c r="G40" s="10">
        <f t="shared" ca="1" si="2"/>
        <v>541</v>
      </c>
      <c r="H40" s="10"/>
      <c r="I40" s="10">
        <f t="shared" ca="1" si="3"/>
        <v>523</v>
      </c>
      <c r="J40" s="10"/>
      <c r="K40" s="10">
        <f t="shared" ca="1" si="4"/>
        <v>934</v>
      </c>
      <c r="L40" s="10"/>
      <c r="M40" s="10">
        <f t="shared" ca="1" si="5"/>
        <v>856</v>
      </c>
      <c r="N40" s="10"/>
    </row>
    <row r="41" spans="1:14" x14ac:dyDescent="0.25">
      <c r="A41" s="10" t="str">
        <f>Movimentação!G41</f>
        <v>FEI-002</v>
      </c>
      <c r="B41" s="10"/>
      <c r="C41" s="10">
        <f t="shared" ca="1" si="0"/>
        <v>841</v>
      </c>
      <c r="D41" s="10"/>
      <c r="E41" s="10">
        <f t="shared" ca="1" si="1"/>
        <v>969</v>
      </c>
      <c r="F41" s="10"/>
      <c r="G41" s="10">
        <f t="shared" ca="1" si="2"/>
        <v>510</v>
      </c>
      <c r="H41" s="10"/>
      <c r="I41" s="10">
        <f t="shared" ca="1" si="3"/>
        <v>703</v>
      </c>
      <c r="J41" s="10"/>
      <c r="K41" s="10">
        <f t="shared" ca="1" si="4"/>
        <v>209</v>
      </c>
      <c r="L41" s="10"/>
      <c r="M41" s="10">
        <f t="shared" ca="1" si="5"/>
        <v>957</v>
      </c>
      <c r="N41" s="10"/>
    </row>
    <row r="42" spans="1:14" x14ac:dyDescent="0.25">
      <c r="A42" s="10" t="str">
        <f>Movimentação!G42</f>
        <v>FEI-003</v>
      </c>
      <c r="B42" s="10"/>
      <c r="C42" s="10">
        <f t="shared" ca="1" si="0"/>
        <v>772</v>
      </c>
      <c r="D42" s="10"/>
      <c r="E42" s="10">
        <f t="shared" ca="1" si="1"/>
        <v>329</v>
      </c>
      <c r="F42" s="10"/>
      <c r="G42" s="10">
        <f t="shared" ca="1" si="2"/>
        <v>762</v>
      </c>
      <c r="H42" s="10"/>
      <c r="I42" s="10">
        <f t="shared" ca="1" si="3"/>
        <v>469</v>
      </c>
      <c r="J42" s="10"/>
      <c r="K42" s="10">
        <f t="shared" ca="1" si="4"/>
        <v>945</v>
      </c>
      <c r="L42" s="10"/>
      <c r="M42" s="10">
        <f t="shared" ca="1" si="5"/>
        <v>469</v>
      </c>
      <c r="N42" s="10"/>
    </row>
    <row r="43" spans="1:14" x14ac:dyDescent="0.25">
      <c r="A43" s="10" t="str">
        <f>Movimentação!G43</f>
        <v>CX-CREM-LEITE-001</v>
      </c>
      <c r="B43" s="10"/>
      <c r="C43" s="10">
        <f t="shared" ca="1" si="0"/>
        <v>216</v>
      </c>
      <c r="D43" s="10"/>
      <c r="E43" s="10">
        <f t="shared" ca="1" si="1"/>
        <v>807</v>
      </c>
      <c r="F43" s="10"/>
      <c r="G43" s="10">
        <f t="shared" ca="1" si="2"/>
        <v>825</v>
      </c>
      <c r="H43" s="10"/>
      <c r="I43" s="10">
        <f t="shared" ca="1" si="3"/>
        <v>385</v>
      </c>
      <c r="J43" s="10"/>
      <c r="K43" s="10">
        <f t="shared" ca="1" si="4"/>
        <v>898</v>
      </c>
      <c r="L43" s="10"/>
      <c r="M43" s="10">
        <f t="shared" ca="1" si="5"/>
        <v>150</v>
      </c>
      <c r="N43" s="10"/>
    </row>
    <row r="44" spans="1:14" x14ac:dyDescent="0.25">
      <c r="A44" s="10" t="str">
        <f>Movimentação!G44</f>
        <v>CX-CREM-LEITE-002</v>
      </c>
      <c r="B44" s="10"/>
      <c r="C44" s="10">
        <f t="shared" ca="1" si="0"/>
        <v>354</v>
      </c>
      <c r="D44" s="10"/>
      <c r="E44" s="10">
        <f t="shared" ca="1" si="1"/>
        <v>574</v>
      </c>
      <c r="F44" s="10"/>
      <c r="G44" s="10">
        <f t="shared" ca="1" si="2"/>
        <v>777</v>
      </c>
      <c r="H44" s="10"/>
      <c r="I44" s="10">
        <f t="shared" ca="1" si="3"/>
        <v>256</v>
      </c>
      <c r="J44" s="10"/>
      <c r="K44" s="10">
        <f t="shared" ca="1" si="4"/>
        <v>380</v>
      </c>
      <c r="L44" s="10"/>
      <c r="M44" s="10">
        <f t="shared" ca="1" si="5"/>
        <v>859</v>
      </c>
      <c r="N44" s="10"/>
    </row>
    <row r="45" spans="1:14" x14ac:dyDescent="0.25">
      <c r="A45" s="10" t="str">
        <f>Movimentação!G45</f>
        <v>CX-CREM-LEITE-003</v>
      </c>
      <c r="B45" s="10"/>
      <c r="C45" s="10">
        <f t="shared" ca="1" si="0"/>
        <v>920</v>
      </c>
      <c r="D45" s="10"/>
      <c r="E45" s="10">
        <f t="shared" ca="1" si="1"/>
        <v>315</v>
      </c>
      <c r="F45" s="10"/>
      <c r="G45" s="10">
        <f t="shared" ca="1" si="2"/>
        <v>269</v>
      </c>
      <c r="H45" s="10"/>
      <c r="I45" s="10">
        <f t="shared" ca="1" si="3"/>
        <v>879</v>
      </c>
      <c r="J45" s="10"/>
      <c r="K45" s="10">
        <f t="shared" ca="1" si="4"/>
        <v>384</v>
      </c>
      <c r="L45" s="10"/>
      <c r="M45" s="10">
        <f t="shared" ca="1" si="5"/>
        <v>156</v>
      </c>
      <c r="N45" s="10"/>
    </row>
    <row r="46" spans="1:14" x14ac:dyDescent="0.25">
      <c r="A46" s="10" t="str">
        <f>Movimentação!G46</f>
        <v>LT-CREM-LEITE-001</v>
      </c>
      <c r="B46" s="10"/>
      <c r="C46" s="10">
        <f t="shared" ca="1" si="0"/>
        <v>620</v>
      </c>
      <c r="D46" s="10"/>
      <c r="E46" s="10">
        <f t="shared" ca="1" si="1"/>
        <v>882</v>
      </c>
      <c r="F46" s="10"/>
      <c r="G46" s="10">
        <f t="shared" ca="1" si="2"/>
        <v>912</v>
      </c>
      <c r="H46" s="10"/>
      <c r="I46" s="10">
        <f t="shared" ca="1" si="3"/>
        <v>340</v>
      </c>
      <c r="J46" s="10"/>
      <c r="K46" s="10">
        <f t="shared" ca="1" si="4"/>
        <v>616</v>
      </c>
      <c r="L46" s="10"/>
      <c r="M46" s="10">
        <f t="shared" ca="1" si="5"/>
        <v>451</v>
      </c>
      <c r="N46" s="10"/>
    </row>
    <row r="47" spans="1:14" x14ac:dyDescent="0.25">
      <c r="A47" s="10" t="str">
        <f>Movimentação!G47</f>
        <v>LT-CREM-LEITE-002</v>
      </c>
      <c r="B47" s="10"/>
      <c r="C47" s="10">
        <f t="shared" ca="1" si="0"/>
        <v>606</v>
      </c>
      <c r="D47" s="10"/>
      <c r="E47" s="10">
        <f t="shared" ca="1" si="1"/>
        <v>580</v>
      </c>
      <c r="F47" s="10"/>
      <c r="G47" s="10">
        <f t="shared" ca="1" si="2"/>
        <v>480</v>
      </c>
      <c r="H47" s="10"/>
      <c r="I47" s="10">
        <f t="shared" ca="1" si="3"/>
        <v>653</v>
      </c>
      <c r="J47" s="10"/>
      <c r="K47" s="10">
        <f t="shared" ca="1" si="4"/>
        <v>725</v>
      </c>
      <c r="L47" s="10"/>
      <c r="M47" s="10">
        <f t="shared" ca="1" si="5"/>
        <v>809</v>
      </c>
      <c r="N47" s="10"/>
    </row>
    <row r="48" spans="1:14" x14ac:dyDescent="0.25">
      <c r="A48" s="10" t="str">
        <f>Movimentação!G48</f>
        <v>LT-CREM-LEITE-003</v>
      </c>
      <c r="B48" s="10"/>
      <c r="C48" s="10">
        <f t="shared" ca="1" si="0"/>
        <v>871</v>
      </c>
      <c r="D48" s="10"/>
      <c r="E48" s="10">
        <f t="shared" ca="1" si="1"/>
        <v>323</v>
      </c>
      <c r="F48" s="10"/>
      <c r="G48" s="10">
        <f t="shared" ca="1" si="2"/>
        <v>226</v>
      </c>
      <c r="H48" s="10"/>
      <c r="I48" s="10">
        <f t="shared" ca="1" si="3"/>
        <v>678</v>
      </c>
      <c r="J48" s="10"/>
      <c r="K48" s="10">
        <f t="shared" ca="1" si="4"/>
        <v>786</v>
      </c>
      <c r="L48" s="10"/>
      <c r="M48" s="10">
        <f t="shared" ca="1" si="5"/>
        <v>739</v>
      </c>
      <c r="N48" s="10"/>
    </row>
    <row r="49" spans="1:14" x14ac:dyDescent="0.25">
      <c r="A49" s="10" t="str">
        <f>Movimentação!G49</f>
        <v>CX-LEITE-COND-001</v>
      </c>
      <c r="B49" s="10"/>
      <c r="C49" s="10">
        <f t="shared" ca="1" si="0"/>
        <v>298</v>
      </c>
      <c r="D49" s="10"/>
      <c r="E49" s="10">
        <f t="shared" ca="1" si="1"/>
        <v>161</v>
      </c>
      <c r="F49" s="10"/>
      <c r="G49" s="10">
        <f t="shared" ca="1" si="2"/>
        <v>694</v>
      </c>
      <c r="H49" s="10"/>
      <c r="I49" s="10">
        <f t="shared" ca="1" si="3"/>
        <v>368</v>
      </c>
      <c r="J49" s="10"/>
      <c r="K49" s="10">
        <f t="shared" ca="1" si="4"/>
        <v>394</v>
      </c>
      <c r="L49" s="10"/>
      <c r="M49" s="10">
        <f t="shared" ca="1" si="5"/>
        <v>406</v>
      </c>
      <c r="N49" s="10"/>
    </row>
    <row r="50" spans="1:14" x14ac:dyDescent="0.25">
      <c r="A50" s="10" t="str">
        <f>Movimentação!G50</f>
        <v>CX-LEITE-COND-002</v>
      </c>
      <c r="B50" s="10"/>
      <c r="C50" s="10">
        <f t="shared" ca="1" si="0"/>
        <v>551</v>
      </c>
      <c r="D50" s="10"/>
      <c r="E50" s="10">
        <f t="shared" ca="1" si="1"/>
        <v>855</v>
      </c>
      <c r="F50" s="10"/>
      <c r="G50" s="10">
        <f t="shared" ca="1" si="2"/>
        <v>226</v>
      </c>
      <c r="H50" s="10"/>
      <c r="I50" s="10">
        <f t="shared" ca="1" si="3"/>
        <v>364</v>
      </c>
      <c r="J50" s="10"/>
      <c r="K50" s="10">
        <f t="shared" ca="1" si="4"/>
        <v>677</v>
      </c>
      <c r="L50" s="10"/>
      <c r="M50" s="10">
        <f t="shared" ca="1" si="5"/>
        <v>962</v>
      </c>
      <c r="N50" s="10"/>
    </row>
  </sheetData>
  <mergeCells count="350">
    <mergeCell ref="M46:N46"/>
    <mergeCell ref="M47:N47"/>
    <mergeCell ref="M48:N48"/>
    <mergeCell ref="M49:N49"/>
    <mergeCell ref="M50:N50"/>
    <mergeCell ref="M40:N40"/>
    <mergeCell ref="M41:N41"/>
    <mergeCell ref="M42:N42"/>
    <mergeCell ref="M43:N43"/>
    <mergeCell ref="M44:N44"/>
    <mergeCell ref="M45:N45"/>
    <mergeCell ref="M35:N35"/>
    <mergeCell ref="M36:N36"/>
    <mergeCell ref="M37:N37"/>
    <mergeCell ref="M38:N38"/>
    <mergeCell ref="M39:N39"/>
    <mergeCell ref="M28:N28"/>
    <mergeCell ref="M29:N29"/>
    <mergeCell ref="M30:N30"/>
    <mergeCell ref="M31:N31"/>
    <mergeCell ref="M32:N32"/>
    <mergeCell ref="M33:N33"/>
    <mergeCell ref="M26:N26"/>
    <mergeCell ref="M27:N27"/>
    <mergeCell ref="M16:N16"/>
    <mergeCell ref="M17:N17"/>
    <mergeCell ref="M18:N18"/>
    <mergeCell ref="M19:N19"/>
    <mergeCell ref="M20:N20"/>
    <mergeCell ref="M21:N21"/>
    <mergeCell ref="M34:N34"/>
    <mergeCell ref="M13:N13"/>
    <mergeCell ref="M14:N14"/>
    <mergeCell ref="M15:N15"/>
    <mergeCell ref="K48:L48"/>
    <mergeCell ref="K49:L49"/>
    <mergeCell ref="K50:L50"/>
    <mergeCell ref="K44:L44"/>
    <mergeCell ref="K45:L45"/>
    <mergeCell ref="K46:L46"/>
    <mergeCell ref="K47:L47"/>
    <mergeCell ref="K27:L27"/>
    <mergeCell ref="K28:L28"/>
    <mergeCell ref="K29:L29"/>
    <mergeCell ref="K18:L18"/>
    <mergeCell ref="K19:L19"/>
    <mergeCell ref="K20:L20"/>
    <mergeCell ref="K21:L21"/>
    <mergeCell ref="K22:L22"/>
    <mergeCell ref="K23:L23"/>
    <mergeCell ref="K13:L13"/>
    <mergeCell ref="M22:N22"/>
    <mergeCell ref="M23:N23"/>
    <mergeCell ref="M24:N24"/>
    <mergeCell ref="M25:N25"/>
    <mergeCell ref="M6:N6"/>
    <mergeCell ref="M7:N7"/>
    <mergeCell ref="M8:N8"/>
    <mergeCell ref="M9:N9"/>
    <mergeCell ref="K42:L42"/>
    <mergeCell ref="K43:L43"/>
    <mergeCell ref="K36:L36"/>
    <mergeCell ref="K37:L37"/>
    <mergeCell ref="K38:L38"/>
    <mergeCell ref="K39:L39"/>
    <mergeCell ref="K40:L40"/>
    <mergeCell ref="K41:L41"/>
    <mergeCell ref="K30:L30"/>
    <mergeCell ref="K31:L31"/>
    <mergeCell ref="K32:L32"/>
    <mergeCell ref="K33:L33"/>
    <mergeCell ref="K34:L34"/>
    <mergeCell ref="K35:L35"/>
    <mergeCell ref="K24:L24"/>
    <mergeCell ref="K25:L25"/>
    <mergeCell ref="K26:L26"/>
    <mergeCell ref="M10:N10"/>
    <mergeCell ref="M11:N11"/>
    <mergeCell ref="M12:N12"/>
    <mergeCell ref="I50:J50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I44:J44"/>
    <mergeCell ref="I45:J45"/>
    <mergeCell ref="I46:J46"/>
    <mergeCell ref="I47:J47"/>
    <mergeCell ref="I48:J48"/>
    <mergeCell ref="I49:J49"/>
    <mergeCell ref="I38:J38"/>
    <mergeCell ref="I39:J39"/>
    <mergeCell ref="I40:J40"/>
    <mergeCell ref="I41:J41"/>
    <mergeCell ref="I36:J36"/>
    <mergeCell ref="I37:J37"/>
    <mergeCell ref="I26:J26"/>
    <mergeCell ref="I27:J27"/>
    <mergeCell ref="K14:L14"/>
    <mergeCell ref="K15:L15"/>
    <mergeCell ref="K16:L16"/>
    <mergeCell ref="K17:L17"/>
    <mergeCell ref="G11:H11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  <mergeCell ref="I12:J12"/>
    <mergeCell ref="I13:J13"/>
    <mergeCell ref="G16:H16"/>
    <mergeCell ref="K12:L12"/>
    <mergeCell ref="G19:H19"/>
    <mergeCell ref="G20:H20"/>
    <mergeCell ref="G21:H21"/>
    <mergeCell ref="G17:H17"/>
    <mergeCell ref="G18:H18"/>
    <mergeCell ref="G46:H46"/>
    <mergeCell ref="G47:H47"/>
    <mergeCell ref="G48:H48"/>
    <mergeCell ref="G33:H33"/>
    <mergeCell ref="G22:H22"/>
    <mergeCell ref="G23:H23"/>
    <mergeCell ref="G24:H24"/>
    <mergeCell ref="G25:H25"/>
    <mergeCell ref="G26:H26"/>
    <mergeCell ref="G27:H27"/>
    <mergeCell ref="I42:J42"/>
    <mergeCell ref="I43:J43"/>
    <mergeCell ref="I32:J32"/>
    <mergeCell ref="I33:J33"/>
    <mergeCell ref="I34:J34"/>
    <mergeCell ref="I35:J35"/>
    <mergeCell ref="I28:J28"/>
    <mergeCell ref="I29:J29"/>
    <mergeCell ref="I30:J30"/>
    <mergeCell ref="I31:J31"/>
    <mergeCell ref="I24:J24"/>
    <mergeCell ref="I25:J25"/>
    <mergeCell ref="I6:J6"/>
    <mergeCell ref="I7:J7"/>
    <mergeCell ref="G40:H40"/>
    <mergeCell ref="G41:H41"/>
    <mergeCell ref="G42:H42"/>
    <mergeCell ref="G43:H43"/>
    <mergeCell ref="G44:H44"/>
    <mergeCell ref="G34:H34"/>
    <mergeCell ref="G35:H35"/>
    <mergeCell ref="G36:H36"/>
    <mergeCell ref="G37:H37"/>
    <mergeCell ref="G38:H38"/>
    <mergeCell ref="G39:H39"/>
    <mergeCell ref="G28:H28"/>
    <mergeCell ref="G29:H29"/>
    <mergeCell ref="G30:H30"/>
    <mergeCell ref="G31:H31"/>
    <mergeCell ref="G32:H32"/>
    <mergeCell ref="I8:J8"/>
    <mergeCell ref="I9:J9"/>
    <mergeCell ref="I10:J10"/>
    <mergeCell ref="I11:J11"/>
    <mergeCell ref="E48:F48"/>
    <mergeCell ref="E49:F49"/>
    <mergeCell ref="E50:F50"/>
    <mergeCell ref="G3:H3"/>
    <mergeCell ref="G4:H4"/>
    <mergeCell ref="G5:H5"/>
    <mergeCell ref="G6:H6"/>
    <mergeCell ref="G7:H7"/>
    <mergeCell ref="G8:H8"/>
    <mergeCell ref="G9:H9"/>
    <mergeCell ref="E42:F42"/>
    <mergeCell ref="E43:F43"/>
    <mergeCell ref="E44:F44"/>
    <mergeCell ref="E45:F45"/>
    <mergeCell ref="E46:F46"/>
    <mergeCell ref="E47:F47"/>
    <mergeCell ref="E36:F36"/>
    <mergeCell ref="E37:F37"/>
    <mergeCell ref="E38:F38"/>
    <mergeCell ref="E39:F39"/>
    <mergeCell ref="G49:H49"/>
    <mergeCell ref="G50:H50"/>
    <mergeCell ref="G45:H45"/>
    <mergeCell ref="G10:H10"/>
    <mergeCell ref="E41:F41"/>
    <mergeCell ref="E30:F30"/>
    <mergeCell ref="E31:F31"/>
    <mergeCell ref="E32:F32"/>
    <mergeCell ref="E33:F33"/>
    <mergeCell ref="E34:F34"/>
    <mergeCell ref="E35:F35"/>
    <mergeCell ref="E24:F24"/>
    <mergeCell ref="E25:F25"/>
    <mergeCell ref="E26:F26"/>
    <mergeCell ref="E27:F27"/>
    <mergeCell ref="E28:F28"/>
    <mergeCell ref="E29:F29"/>
    <mergeCell ref="E22:F22"/>
    <mergeCell ref="E23:F23"/>
    <mergeCell ref="E12:F12"/>
    <mergeCell ref="E13:F13"/>
    <mergeCell ref="E14:F14"/>
    <mergeCell ref="E15:F15"/>
    <mergeCell ref="E16:F16"/>
    <mergeCell ref="E17:F17"/>
    <mergeCell ref="E40:F40"/>
    <mergeCell ref="C16:D16"/>
    <mergeCell ref="C17:D17"/>
    <mergeCell ref="C18:D18"/>
    <mergeCell ref="C19:D19"/>
    <mergeCell ref="C20:D20"/>
    <mergeCell ref="C21:D21"/>
    <mergeCell ref="C10:D10"/>
    <mergeCell ref="C11:D11"/>
    <mergeCell ref="E18:F18"/>
    <mergeCell ref="E19:F19"/>
    <mergeCell ref="E20:F20"/>
    <mergeCell ref="E21:F21"/>
    <mergeCell ref="C12:D12"/>
    <mergeCell ref="C13:D13"/>
    <mergeCell ref="C14:D14"/>
    <mergeCell ref="C15:D15"/>
    <mergeCell ref="C46:D46"/>
    <mergeCell ref="C47:D47"/>
    <mergeCell ref="C48:D48"/>
    <mergeCell ref="C33:D33"/>
    <mergeCell ref="C22:D22"/>
    <mergeCell ref="C23:D23"/>
    <mergeCell ref="C24:D24"/>
    <mergeCell ref="C25:D25"/>
    <mergeCell ref="C26:D26"/>
    <mergeCell ref="C27:D27"/>
    <mergeCell ref="C49:D49"/>
    <mergeCell ref="C50:D50"/>
    <mergeCell ref="E2:F2"/>
    <mergeCell ref="E8:F8"/>
    <mergeCell ref="E9:F9"/>
    <mergeCell ref="E10:F10"/>
    <mergeCell ref="E11:F11"/>
    <mergeCell ref="C40:D40"/>
    <mergeCell ref="C41:D41"/>
    <mergeCell ref="C42:D42"/>
    <mergeCell ref="C43:D43"/>
    <mergeCell ref="C44:D44"/>
    <mergeCell ref="C45:D45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K1:L1"/>
    <mergeCell ref="M1:N1"/>
    <mergeCell ref="C2:D2"/>
    <mergeCell ref="C3:D3"/>
    <mergeCell ref="C4:D4"/>
    <mergeCell ref="C5:D5"/>
    <mergeCell ref="G2:H2"/>
    <mergeCell ref="I2:J2"/>
    <mergeCell ref="K2:L2"/>
    <mergeCell ref="M2:N2"/>
    <mergeCell ref="E3:F3"/>
    <mergeCell ref="E4:F4"/>
    <mergeCell ref="E5:F5"/>
    <mergeCell ref="C1:D1"/>
    <mergeCell ref="E1:F1"/>
    <mergeCell ref="G1:H1"/>
    <mergeCell ref="I1:J1"/>
    <mergeCell ref="I4:J4"/>
    <mergeCell ref="I5:J5"/>
    <mergeCell ref="M3:N3"/>
    <mergeCell ref="M4:N4"/>
    <mergeCell ref="M5:N5"/>
    <mergeCell ref="E6:F6"/>
    <mergeCell ref="E7:F7"/>
    <mergeCell ref="G12:H12"/>
    <mergeCell ref="G13:H13"/>
    <mergeCell ref="G14:H14"/>
    <mergeCell ref="G15:H15"/>
    <mergeCell ref="I3:J3"/>
    <mergeCell ref="A49:B49"/>
    <mergeCell ref="A50:B50"/>
    <mergeCell ref="C6:D6"/>
    <mergeCell ref="C7:D7"/>
    <mergeCell ref="C8:D8"/>
    <mergeCell ref="C9:D9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Movimentação</vt:lpstr>
      <vt:lpstr>Planilha_Vendas</vt:lpstr>
      <vt:lpstr>Movimentação_Meses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Naete Souza</dc:creator>
  <cp:lastModifiedBy>Naete Souza</cp:lastModifiedBy>
  <dcterms:created xsi:type="dcterms:W3CDTF">2026-01-04T16:12:40Z</dcterms:created>
  <dcterms:modified xsi:type="dcterms:W3CDTF">2026-01-14T22:57:22Z</dcterms:modified>
</cp:coreProperties>
</file>