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ete\Desktop\Portifolio\FluxodeCaixa\"/>
    </mc:Choice>
  </mc:AlternateContent>
  <xr:revisionPtr revIDLastSave="0" documentId="13_ncr:1_{D48F0136-1E28-4323-80E4-250F9B41FF4C}" xr6:coauthVersionLast="47" xr6:coauthVersionMax="47" xr10:uidLastSave="{00000000-0000-0000-0000-000000000000}"/>
  <bookViews>
    <workbookView xWindow="-120" yWindow="-120" windowWidth="19440" windowHeight="14880" xr2:uid="{BAFC4C62-4F16-4D93-B631-92EEB96C2E79}"/>
  </bookViews>
  <sheets>
    <sheet name="FluxoCaix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1" l="1"/>
  <c r="D4" i="1"/>
  <c r="F4" i="1"/>
  <c r="H4" i="1"/>
  <c r="J4" i="1"/>
  <c r="L4" i="1"/>
  <c r="N4" i="1"/>
  <c r="P4" i="1"/>
  <c r="D5" i="1"/>
  <c r="F5" i="1"/>
  <c r="H5" i="1"/>
  <c r="J5" i="1"/>
  <c r="L5" i="1"/>
  <c r="N5" i="1"/>
  <c r="P5" i="1"/>
  <c r="D6" i="1"/>
  <c r="F6" i="1"/>
  <c r="H6" i="1"/>
  <c r="J6" i="1"/>
  <c r="L6" i="1"/>
  <c r="N6" i="1"/>
  <c r="P6" i="1"/>
  <c r="D7" i="1"/>
  <c r="F7" i="1"/>
  <c r="H7" i="1"/>
  <c r="J7" i="1"/>
  <c r="L7" i="1"/>
  <c r="N7" i="1"/>
  <c r="P7" i="1"/>
  <c r="F3" i="1"/>
  <c r="H3" i="1"/>
  <c r="J3" i="1"/>
  <c r="L3" i="1"/>
  <c r="N3" i="1"/>
  <c r="P3" i="1"/>
  <c r="D3" i="1"/>
  <c r="F31" i="1"/>
  <c r="H31" i="1"/>
  <c r="J31" i="1"/>
  <c r="L31" i="1"/>
  <c r="N31" i="1"/>
  <c r="P31" i="1"/>
  <c r="D31" i="1"/>
  <c r="N30" i="1"/>
  <c r="P30" i="1"/>
  <c r="F30" i="1"/>
  <c r="H30" i="1"/>
  <c r="J30" i="1"/>
  <c r="L30" i="1"/>
  <c r="D30" i="1"/>
  <c r="F29" i="1"/>
  <c r="H29" i="1"/>
  <c r="J29" i="1"/>
  <c r="L29" i="1"/>
  <c r="N29" i="1"/>
  <c r="P29" i="1"/>
  <c r="D29" i="1"/>
  <c r="F28" i="1"/>
  <c r="H28" i="1"/>
  <c r="J28" i="1"/>
  <c r="L28" i="1"/>
  <c r="N28" i="1"/>
  <c r="P28" i="1"/>
  <c r="D28" i="1"/>
  <c r="F27" i="1"/>
  <c r="H27" i="1"/>
  <c r="J27" i="1"/>
  <c r="L27" i="1"/>
  <c r="N27" i="1"/>
  <c r="P27" i="1"/>
  <c r="D27" i="1"/>
  <c r="F24" i="1"/>
  <c r="H24" i="1"/>
  <c r="J24" i="1"/>
  <c r="L24" i="1"/>
  <c r="N24" i="1"/>
  <c r="P24" i="1"/>
  <c r="D24" i="1"/>
  <c r="F23" i="1"/>
  <c r="H23" i="1"/>
  <c r="J23" i="1"/>
  <c r="L23" i="1"/>
  <c r="N23" i="1"/>
  <c r="P23" i="1"/>
  <c r="D23" i="1"/>
  <c r="F19" i="1"/>
  <c r="J19" i="1"/>
  <c r="L19" i="1"/>
  <c r="N19" i="1"/>
  <c r="P19" i="1"/>
  <c r="D19" i="1"/>
  <c r="F18" i="1"/>
  <c r="H18" i="1"/>
  <c r="J18" i="1"/>
  <c r="L18" i="1"/>
  <c r="N18" i="1"/>
  <c r="P18" i="1"/>
  <c r="D18" i="1"/>
  <c r="F16" i="1"/>
  <c r="H16" i="1"/>
  <c r="J16" i="1"/>
  <c r="L16" i="1"/>
  <c r="N16" i="1"/>
  <c r="P16" i="1"/>
  <c r="D16" i="1"/>
  <c r="F15" i="1"/>
  <c r="H15" i="1"/>
  <c r="J15" i="1"/>
  <c r="L15" i="1"/>
  <c r="N15" i="1"/>
  <c r="P15" i="1"/>
  <c r="D15" i="1"/>
  <c r="F14" i="1"/>
  <c r="H14" i="1"/>
  <c r="J14" i="1"/>
  <c r="L14" i="1"/>
  <c r="N14" i="1"/>
  <c r="P14" i="1"/>
  <c r="D14" i="1"/>
  <c r="F13" i="1"/>
  <c r="H13" i="1"/>
  <c r="J13" i="1"/>
  <c r="L13" i="1"/>
  <c r="N13" i="1"/>
  <c r="P13" i="1"/>
  <c r="D13" i="1"/>
  <c r="F12" i="1"/>
  <c r="H12" i="1"/>
  <c r="J12" i="1"/>
  <c r="L12" i="1"/>
  <c r="N12" i="1"/>
  <c r="P12" i="1"/>
  <c r="D12" i="1"/>
  <c r="F10" i="1"/>
  <c r="H10" i="1"/>
  <c r="J10" i="1"/>
  <c r="L10" i="1"/>
  <c r="N10" i="1"/>
  <c r="P10" i="1"/>
  <c r="D10" i="1"/>
  <c r="P8" i="1" l="1"/>
  <c r="P17" i="1" s="1"/>
  <c r="P32" i="1" s="1"/>
  <c r="N8" i="1"/>
  <c r="N17" i="1" s="1"/>
  <c r="N32" i="1" s="1"/>
  <c r="L8" i="1"/>
  <c r="L17" i="1" s="1"/>
  <c r="L32" i="1" s="1"/>
  <c r="J8" i="1"/>
  <c r="J17" i="1" s="1"/>
  <c r="J32" i="1" s="1"/>
  <c r="H8" i="1"/>
  <c r="H17" i="1" s="1"/>
  <c r="H32" i="1" s="1"/>
  <c r="F8" i="1"/>
  <c r="F17" i="1" s="1"/>
  <c r="F32" i="1" s="1"/>
  <c r="D8" i="1"/>
  <c r="D17" i="1" s="1"/>
  <c r="D32" i="1" s="1"/>
</calcChain>
</file>

<file path=xl/sharedStrings.xml><?xml version="1.0" encoding="utf-8"?>
<sst xmlns="http://schemas.openxmlformats.org/spreadsheetml/2006/main" count="45" uniqueCount="39">
  <si>
    <t>ENTRADAS</t>
  </si>
  <si>
    <t>Previsão de recebimentos de vendas</t>
  </si>
  <si>
    <t>Contas a receber-Vendas realizadas</t>
  </si>
  <si>
    <t>Outros recebimentos</t>
  </si>
  <si>
    <t>Aporte de recurso próprio</t>
  </si>
  <si>
    <t>Aporte proveniente de empréstimos</t>
  </si>
  <si>
    <t>SAÍDAS</t>
  </si>
  <si>
    <t>TOTAL DE ENTRADAS</t>
  </si>
  <si>
    <t>Fornecedores</t>
  </si>
  <si>
    <t>Folha de pagamentos (funcionários)</t>
  </si>
  <si>
    <t>INSS a recolher</t>
  </si>
  <si>
    <t>FGTS</t>
  </si>
  <si>
    <t xml:space="preserve"> 13 salário</t>
  </si>
  <si>
    <t>Verbas para rescisão</t>
  </si>
  <si>
    <t>Retiradas dos sócios</t>
  </si>
  <si>
    <t>Impostos c/ vendas</t>
  </si>
  <si>
    <t>Aluguéis</t>
  </si>
  <si>
    <t>Energia elétrica</t>
  </si>
  <si>
    <t>Telefone</t>
  </si>
  <si>
    <t>Serviços contabilidade</t>
  </si>
  <si>
    <t>Serviços de terceiros</t>
  </si>
  <si>
    <t>Anúncios - Marketing e publicidade</t>
  </si>
  <si>
    <t>Combustíveis</t>
  </si>
  <si>
    <t>Manutenção de veículos</t>
  </si>
  <si>
    <t>Manutenção fábrica</t>
  </si>
  <si>
    <t>Despesas diversas</t>
  </si>
  <si>
    <t>Empréstimos bancários</t>
  </si>
  <si>
    <t>Financiamentos equipamentos</t>
  </si>
  <si>
    <t>Despesas financeiras</t>
  </si>
  <si>
    <t>Outros pagamentos</t>
  </si>
  <si>
    <t>Mês</t>
  </si>
  <si>
    <t>TOTAL DE SAÍDAS</t>
  </si>
  <si>
    <t>Jan</t>
  </si>
  <si>
    <t>Fev</t>
  </si>
  <si>
    <t>Març</t>
  </si>
  <si>
    <t>Abril</t>
  </si>
  <si>
    <t>Maio</t>
  </si>
  <si>
    <t>Junho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</si>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</sst>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vertical="center"/>
    </xf>
    <xf numFmtId="2" fontId="0" fillId="5" borderId="1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2" fontId="0" fillId="0" borderId="1" xfId="0" applyNumberFormat="1" applyFont="1" applyBorder="1" applyAlignment="1">
      <alignment horizontal="center" vertical="center"/>
    </xf>
    <xf numFmtId="2" fontId="0" fillId="3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ACDB2-47FF-49B6-9671-B7856CE5D335}">
  <dimension ref="A1:Q35"/>
  <sheetViews>
    <sheetView tabSelected="1" workbookViewId="0">
      <selection activeCell="H20" sqref="H20:I20"/>
    </sheetView>
  </sheetViews>
  <sheetFormatPr defaultRowHeight="15" x14ac:dyDescent="0.25"/>
  <cols>
    <col min="3" max="3" width="17.5703125" customWidth="1"/>
  </cols>
  <sheetData>
    <row r="1" spans="1:17" x14ac:dyDescent="0.25">
      <c r="A1" s="11" t="s">
        <v>0</v>
      </c>
      <c r="B1" s="11"/>
      <c r="C1" s="12"/>
      <c r="D1" s="8" t="s">
        <v>30</v>
      </c>
      <c r="E1" s="8"/>
      <c r="F1" s="8" t="s">
        <v>30</v>
      </c>
      <c r="G1" s="8"/>
      <c r="H1" s="8" t="s">
        <v>30</v>
      </c>
      <c r="I1" s="8"/>
      <c r="J1" s="8" t="s">
        <v>30</v>
      </c>
      <c r="K1" s="8"/>
      <c r="L1" s="8" t="s">
        <v>30</v>
      </c>
      <c r="M1" s="8"/>
      <c r="N1" s="8" t="s">
        <v>30</v>
      </c>
      <c r="O1" s="8"/>
      <c r="P1" s="8" t="s">
        <v>30</v>
      </c>
      <c r="Q1" s="8"/>
    </row>
    <row r="2" spans="1:17" x14ac:dyDescent="0.25">
      <c r="A2" s="13"/>
      <c r="B2" s="13"/>
      <c r="C2" s="14"/>
      <c r="D2" s="9" t="s">
        <v>32</v>
      </c>
      <c r="E2" s="9"/>
      <c r="F2" s="9" t="s">
        <v>33</v>
      </c>
      <c r="G2" s="9"/>
      <c r="H2" s="9" t="s">
        <v>34</v>
      </c>
      <c r="I2" s="9"/>
      <c r="J2" s="9" t="s">
        <v>35</v>
      </c>
      <c r="K2" s="9"/>
      <c r="L2" s="9" t="s">
        <v>36</v>
      </c>
      <c r="M2" s="9"/>
      <c r="N2" s="9" t="s">
        <v>37</v>
      </c>
      <c r="O2" s="9"/>
      <c r="P2" s="9" t="s">
        <v>38</v>
      </c>
      <c r="Q2" s="9"/>
    </row>
    <row r="3" spans="1:17" x14ac:dyDescent="0.25">
      <c r="A3" s="16" t="s">
        <v>1</v>
      </c>
      <c r="B3" s="16"/>
      <c r="C3" s="16"/>
      <c r="D3" s="6">
        <f ca="1">RANDBETWEEN(1000,70000)</f>
        <v>30126</v>
      </c>
      <c r="E3" s="6"/>
      <c r="F3" s="6">
        <f t="shared" ref="F3:F7" ca="1" si="0">RANDBETWEEN(1000,70000)</f>
        <v>50732</v>
      </c>
      <c r="G3" s="6"/>
      <c r="H3" s="6">
        <f t="shared" ref="H3:H7" ca="1" si="1">RANDBETWEEN(1000,70000)</f>
        <v>40276</v>
      </c>
      <c r="I3" s="6"/>
      <c r="J3" s="6">
        <f t="shared" ref="J3:J7" ca="1" si="2">RANDBETWEEN(1000,70000)</f>
        <v>8635</v>
      </c>
      <c r="K3" s="6"/>
      <c r="L3" s="6">
        <f t="shared" ref="L3:L7" ca="1" si="3">RANDBETWEEN(1000,70000)</f>
        <v>38409</v>
      </c>
      <c r="M3" s="6"/>
      <c r="N3" s="6">
        <f t="shared" ref="N3:N7" ca="1" si="4">RANDBETWEEN(1000,70000)</f>
        <v>16217</v>
      </c>
      <c r="O3" s="6"/>
      <c r="P3" s="6">
        <f t="shared" ref="P3:P7" ca="1" si="5">RANDBETWEEN(1000,70000)</f>
        <v>16243</v>
      </c>
      <c r="Q3" s="6"/>
    </row>
    <row r="4" spans="1:17" x14ac:dyDescent="0.25">
      <c r="A4" s="16" t="s">
        <v>2</v>
      </c>
      <c r="B4" s="16"/>
      <c r="C4" s="16"/>
      <c r="D4" s="6">
        <f t="shared" ref="D4:D7" ca="1" si="6">RANDBETWEEN(1000,70000)</f>
        <v>16198</v>
      </c>
      <c r="E4" s="6"/>
      <c r="F4" s="6">
        <f t="shared" ca="1" si="0"/>
        <v>38986</v>
      </c>
      <c r="G4" s="6"/>
      <c r="H4" s="6">
        <f t="shared" ca="1" si="1"/>
        <v>52706</v>
      </c>
      <c r="I4" s="6"/>
      <c r="J4" s="6">
        <f t="shared" ca="1" si="2"/>
        <v>53912</v>
      </c>
      <c r="K4" s="6"/>
      <c r="L4" s="6">
        <f t="shared" ca="1" si="3"/>
        <v>35726</v>
      </c>
      <c r="M4" s="6"/>
      <c r="N4" s="6">
        <f t="shared" ca="1" si="4"/>
        <v>13893</v>
      </c>
      <c r="O4" s="6"/>
      <c r="P4" s="6">
        <f t="shared" ca="1" si="5"/>
        <v>50050</v>
      </c>
      <c r="Q4" s="6"/>
    </row>
    <row r="5" spans="1:17" x14ac:dyDescent="0.25">
      <c r="A5" s="16" t="s">
        <v>3</v>
      </c>
      <c r="B5" s="16"/>
      <c r="C5" s="16"/>
      <c r="D5" s="6">
        <f t="shared" ca="1" si="6"/>
        <v>66080</v>
      </c>
      <c r="E5" s="6"/>
      <c r="F5" s="6">
        <f t="shared" ca="1" si="0"/>
        <v>20383</v>
      </c>
      <c r="G5" s="6"/>
      <c r="H5" s="6">
        <f t="shared" ca="1" si="1"/>
        <v>27357</v>
      </c>
      <c r="I5" s="6"/>
      <c r="J5" s="6">
        <f t="shared" ca="1" si="2"/>
        <v>69487</v>
      </c>
      <c r="K5" s="6"/>
      <c r="L5" s="6">
        <f t="shared" ca="1" si="3"/>
        <v>33910</v>
      </c>
      <c r="M5" s="6"/>
      <c r="N5" s="6">
        <f t="shared" ca="1" si="4"/>
        <v>15695</v>
      </c>
      <c r="O5" s="6"/>
      <c r="P5" s="6">
        <f t="shared" ca="1" si="5"/>
        <v>38474</v>
      </c>
      <c r="Q5" s="6"/>
    </row>
    <row r="6" spans="1:17" x14ac:dyDescent="0.25">
      <c r="A6" s="16" t="s">
        <v>4</v>
      </c>
      <c r="B6" s="16"/>
      <c r="C6" s="16"/>
      <c r="D6" s="6">
        <f t="shared" ca="1" si="6"/>
        <v>31480</v>
      </c>
      <c r="E6" s="6"/>
      <c r="F6" s="6">
        <f t="shared" ca="1" si="0"/>
        <v>15112</v>
      </c>
      <c r="G6" s="6"/>
      <c r="H6" s="6">
        <f t="shared" ca="1" si="1"/>
        <v>5932</v>
      </c>
      <c r="I6" s="6"/>
      <c r="J6" s="6">
        <f t="shared" ca="1" si="2"/>
        <v>32639</v>
      </c>
      <c r="K6" s="6"/>
      <c r="L6" s="6">
        <f t="shared" ca="1" si="3"/>
        <v>35199</v>
      </c>
      <c r="M6" s="6"/>
      <c r="N6" s="6">
        <f t="shared" ca="1" si="4"/>
        <v>67736</v>
      </c>
      <c r="O6" s="6"/>
      <c r="P6" s="6">
        <f t="shared" ca="1" si="5"/>
        <v>60470</v>
      </c>
      <c r="Q6" s="6"/>
    </row>
    <row r="7" spans="1:17" x14ac:dyDescent="0.25">
      <c r="A7" s="16" t="s">
        <v>5</v>
      </c>
      <c r="B7" s="16"/>
      <c r="C7" s="16"/>
      <c r="D7" s="6">
        <f t="shared" ca="1" si="6"/>
        <v>47980</v>
      </c>
      <c r="E7" s="6"/>
      <c r="F7" s="6">
        <f t="shared" ca="1" si="0"/>
        <v>11898</v>
      </c>
      <c r="G7" s="6"/>
      <c r="H7" s="6">
        <f t="shared" ca="1" si="1"/>
        <v>47250</v>
      </c>
      <c r="I7" s="6"/>
      <c r="J7" s="6">
        <f t="shared" ca="1" si="2"/>
        <v>7348</v>
      </c>
      <c r="K7" s="6"/>
      <c r="L7" s="6">
        <f t="shared" ca="1" si="3"/>
        <v>49055</v>
      </c>
      <c r="M7" s="6"/>
      <c r="N7" s="6">
        <f t="shared" ca="1" si="4"/>
        <v>53734</v>
      </c>
      <c r="O7" s="6"/>
      <c r="P7" s="6">
        <f t="shared" ca="1" si="5"/>
        <v>13634</v>
      </c>
      <c r="Q7" s="6"/>
    </row>
    <row r="8" spans="1:17" x14ac:dyDescent="0.25">
      <c r="A8" s="17" t="s">
        <v>7</v>
      </c>
      <c r="B8" s="17"/>
      <c r="C8" s="17"/>
      <c r="D8" s="7">
        <f ca="1">SUM(D3:E7)</f>
        <v>191864</v>
      </c>
      <c r="E8" s="7"/>
      <c r="F8" s="7">
        <f ca="1">SUM(F3:G7)</f>
        <v>137111</v>
      </c>
      <c r="G8" s="7"/>
      <c r="H8" s="7">
        <f ca="1">SUM(H3:I7)</f>
        <v>173521</v>
      </c>
      <c r="I8" s="7"/>
      <c r="J8" s="7">
        <f t="shared" ref="J8" ca="1" si="7">SUM(J3:K7)</f>
        <v>172021</v>
      </c>
      <c r="K8" s="7"/>
      <c r="L8" s="7">
        <f t="shared" ref="L8" ca="1" si="8">SUM(L3:M7)</f>
        <v>192299</v>
      </c>
      <c r="M8" s="7"/>
      <c r="N8" s="7">
        <f t="shared" ref="N8" ca="1" si="9">SUM(N3:O7)</f>
        <v>167275</v>
      </c>
      <c r="O8" s="7"/>
      <c r="P8" s="7">
        <f t="shared" ref="P8" ca="1" si="10">SUM(P3:Q7)</f>
        <v>178871</v>
      </c>
      <c r="Q8" s="7"/>
    </row>
    <row r="9" spans="1:17" x14ac:dyDescent="0.25">
      <c r="A9" s="3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x14ac:dyDescent="0.25">
      <c r="A10" s="15" t="s">
        <v>8</v>
      </c>
      <c r="B10" s="15"/>
      <c r="C10" s="15"/>
      <c r="D10" s="6">
        <f ca="1">RANDBETWEEN(1000,7000)</f>
        <v>4863</v>
      </c>
      <c r="E10" s="6"/>
      <c r="F10" s="6">
        <f t="shared" ref="F10" ca="1" si="11">RANDBETWEEN(1000,7000)</f>
        <v>1118</v>
      </c>
      <c r="G10" s="6"/>
      <c r="H10" s="6">
        <f t="shared" ref="H10" ca="1" si="12">RANDBETWEEN(1000,7000)</f>
        <v>1538</v>
      </c>
      <c r="I10" s="6"/>
      <c r="J10" s="6">
        <f t="shared" ref="J10" ca="1" si="13">RANDBETWEEN(1000,7000)</f>
        <v>3959</v>
      </c>
      <c r="K10" s="6"/>
      <c r="L10" s="6">
        <f t="shared" ref="L10" ca="1" si="14">RANDBETWEEN(1000,7000)</f>
        <v>3879</v>
      </c>
      <c r="M10" s="6"/>
      <c r="N10" s="6">
        <f t="shared" ref="N10" ca="1" si="15">RANDBETWEEN(1000,7000)</f>
        <v>5137</v>
      </c>
      <c r="O10" s="6"/>
      <c r="P10" s="6">
        <f t="shared" ref="P10" ca="1" si="16">RANDBETWEEN(1000,7000)</f>
        <v>1979</v>
      </c>
      <c r="Q10" s="6"/>
    </row>
    <row r="11" spans="1:17" x14ac:dyDescent="0.25">
      <c r="A11" s="15" t="s">
        <v>9</v>
      </c>
      <c r="B11" s="15"/>
      <c r="C11" s="15"/>
      <c r="D11" s="6">
        <v>4500</v>
      </c>
      <c r="E11" s="6"/>
      <c r="F11" s="6">
        <v>4501</v>
      </c>
      <c r="G11" s="6"/>
      <c r="H11" s="6">
        <v>4502</v>
      </c>
      <c r="I11" s="6"/>
      <c r="J11" s="6">
        <v>4503</v>
      </c>
      <c r="K11" s="6"/>
      <c r="L11" s="6">
        <v>4504</v>
      </c>
      <c r="M11" s="6"/>
      <c r="N11" s="6">
        <v>4505</v>
      </c>
      <c r="O11" s="6"/>
      <c r="P11" s="6">
        <v>4506</v>
      </c>
      <c r="Q11" s="6"/>
    </row>
    <row r="12" spans="1:17" x14ac:dyDescent="0.25">
      <c r="A12" s="15" t="s">
        <v>10</v>
      </c>
      <c r="B12" s="15"/>
      <c r="C12" s="15"/>
      <c r="D12" s="6">
        <f>7.5%*D11</f>
        <v>337.5</v>
      </c>
      <c r="E12" s="6"/>
      <c r="F12" s="6">
        <f t="shared" ref="F12" si="17">7.5%*F11</f>
        <v>337.57499999999999</v>
      </c>
      <c r="G12" s="6"/>
      <c r="H12" s="6">
        <f t="shared" ref="H12" si="18">7.5%*H11</f>
        <v>337.65</v>
      </c>
      <c r="I12" s="6"/>
      <c r="J12" s="6">
        <f t="shared" ref="J12" si="19">7.5%*J11</f>
        <v>337.72499999999997</v>
      </c>
      <c r="K12" s="6"/>
      <c r="L12" s="6">
        <f t="shared" ref="L12" si="20">7.5%*L11</f>
        <v>337.8</v>
      </c>
      <c r="M12" s="6"/>
      <c r="N12" s="6">
        <f t="shared" ref="N12" si="21">7.5%*N11</f>
        <v>337.875</v>
      </c>
      <c r="O12" s="6"/>
      <c r="P12" s="6">
        <f t="shared" ref="P12" si="22">7.5%*P11</f>
        <v>337.95</v>
      </c>
      <c r="Q12" s="6"/>
    </row>
    <row r="13" spans="1:17" x14ac:dyDescent="0.25">
      <c r="A13" s="15" t="s">
        <v>11</v>
      </c>
      <c r="B13" s="15"/>
      <c r="C13" s="15"/>
      <c r="D13" s="6">
        <f>9%*D12</f>
        <v>30.375</v>
      </c>
      <c r="E13" s="6"/>
      <c r="F13" s="6">
        <f t="shared" ref="F13" si="23">9%*F12</f>
        <v>30.381749999999997</v>
      </c>
      <c r="G13" s="6"/>
      <c r="H13" s="6">
        <f t="shared" ref="H13" si="24">9%*H12</f>
        <v>30.388499999999997</v>
      </c>
      <c r="I13" s="6"/>
      <c r="J13" s="6">
        <f t="shared" ref="J13" si="25">9%*J12</f>
        <v>30.395249999999997</v>
      </c>
      <c r="K13" s="6"/>
      <c r="L13" s="6">
        <f t="shared" ref="L13" si="26">9%*L12</f>
        <v>30.402000000000001</v>
      </c>
      <c r="M13" s="6"/>
      <c r="N13" s="6">
        <f t="shared" ref="N13" si="27">9%*N12</f>
        <v>30.408749999999998</v>
      </c>
      <c r="O13" s="6"/>
      <c r="P13" s="6">
        <f t="shared" ref="P13" si="28">9%*P12</f>
        <v>30.415499999999998</v>
      </c>
      <c r="Q13" s="6"/>
    </row>
    <row r="14" spans="1:17" x14ac:dyDescent="0.25">
      <c r="A14" s="15" t="s">
        <v>12</v>
      </c>
      <c r="B14" s="15"/>
      <c r="C14" s="15"/>
      <c r="D14" s="6">
        <f>D11/12*7</f>
        <v>2625</v>
      </c>
      <c r="E14" s="6"/>
      <c r="F14" s="6">
        <f t="shared" ref="F14" si="29">F11/12*7</f>
        <v>2625.583333333333</v>
      </c>
      <c r="G14" s="6"/>
      <c r="H14" s="6">
        <f t="shared" ref="H14" si="30">H11/12*7</f>
        <v>2626.166666666667</v>
      </c>
      <c r="I14" s="6"/>
      <c r="J14" s="6">
        <f t="shared" ref="J14" si="31">J11/12*7</f>
        <v>2626.75</v>
      </c>
      <c r="K14" s="6"/>
      <c r="L14" s="6">
        <f t="shared" ref="L14" si="32">L11/12*7</f>
        <v>2627.333333333333</v>
      </c>
      <c r="M14" s="6"/>
      <c r="N14" s="6">
        <f t="shared" ref="N14" si="33">N11/12*7</f>
        <v>2627.916666666667</v>
      </c>
      <c r="O14" s="6"/>
      <c r="P14" s="6">
        <f t="shared" ref="P14" si="34">P11/12*7</f>
        <v>2628.5</v>
      </c>
      <c r="Q14" s="6"/>
    </row>
    <row r="15" spans="1:17" x14ac:dyDescent="0.25">
      <c r="A15" s="15" t="s">
        <v>13</v>
      </c>
      <c r="B15" s="15"/>
      <c r="C15" s="15"/>
      <c r="D15" s="6">
        <f>SUM(D11:E14)</f>
        <v>7492.875</v>
      </c>
      <c r="E15" s="6"/>
      <c r="F15" s="6">
        <f t="shared" ref="F15" si="35">SUM(F11:G14)</f>
        <v>7494.5400833333324</v>
      </c>
      <c r="G15" s="6"/>
      <c r="H15" s="6">
        <f t="shared" ref="H15" si="36">SUM(H11:I14)</f>
        <v>7496.2051666666666</v>
      </c>
      <c r="I15" s="6"/>
      <c r="J15" s="6">
        <f t="shared" ref="J15" si="37">SUM(J11:K14)</f>
        <v>7497.8702499999999</v>
      </c>
      <c r="K15" s="6"/>
      <c r="L15" s="6">
        <f t="shared" ref="L15" si="38">SUM(L11:M14)</f>
        <v>7499.5353333333333</v>
      </c>
      <c r="M15" s="6"/>
      <c r="N15" s="6">
        <f t="shared" ref="N15" si="39">SUM(N11:O14)</f>
        <v>7501.2004166666666</v>
      </c>
      <c r="O15" s="6"/>
      <c r="P15" s="6">
        <f t="shared" ref="P15" si="40">SUM(P11:Q14)</f>
        <v>7502.8654999999999</v>
      </c>
      <c r="Q15" s="6"/>
    </row>
    <row r="16" spans="1:17" x14ac:dyDescent="0.25">
      <c r="A16" s="15" t="s">
        <v>14</v>
      </c>
      <c r="B16" s="15"/>
      <c r="C16" s="15"/>
      <c r="D16" s="6">
        <f ca="1">RANDBETWEEN(10000,25000)</f>
        <v>20211</v>
      </c>
      <c r="E16" s="6"/>
      <c r="F16" s="6">
        <f t="shared" ref="F16" ca="1" si="41">RANDBETWEEN(10000,25000)</f>
        <v>16682</v>
      </c>
      <c r="G16" s="6"/>
      <c r="H16" s="6">
        <f t="shared" ref="H16" ca="1" si="42">RANDBETWEEN(10000,25000)</f>
        <v>15483</v>
      </c>
      <c r="I16" s="6"/>
      <c r="J16" s="6">
        <f t="shared" ref="J16" ca="1" si="43">RANDBETWEEN(10000,25000)</f>
        <v>18809</v>
      </c>
      <c r="K16" s="6"/>
      <c r="L16" s="6">
        <f t="shared" ref="L16" ca="1" si="44">RANDBETWEEN(10000,25000)</f>
        <v>12237</v>
      </c>
      <c r="M16" s="6"/>
      <c r="N16" s="6">
        <f t="shared" ref="N16" ca="1" si="45">RANDBETWEEN(10000,25000)</f>
        <v>20211</v>
      </c>
      <c r="O16" s="6"/>
      <c r="P16" s="6">
        <f t="shared" ref="P16" ca="1" si="46">RANDBETWEEN(10000,25000)</f>
        <v>19939</v>
      </c>
      <c r="Q16" s="6"/>
    </row>
    <row r="17" spans="1:17" x14ac:dyDescent="0.25">
      <c r="A17" s="15" t="s">
        <v>15</v>
      </c>
      <c r="B17" s="15"/>
      <c r="C17" s="15"/>
      <c r="D17" s="6">
        <f ca="1">4%*D8</f>
        <v>7674.56</v>
      </c>
      <c r="E17" s="6"/>
      <c r="F17" s="6">
        <f ca="1">4%*F8</f>
        <v>5484.4400000000005</v>
      </c>
      <c r="G17" s="6"/>
      <c r="H17" s="6">
        <f t="shared" ref="H17" ca="1" si="47">4%*H8</f>
        <v>6940.84</v>
      </c>
      <c r="I17" s="6"/>
      <c r="J17" s="6">
        <f t="shared" ref="J17" ca="1" si="48">4%*J8</f>
        <v>6880.84</v>
      </c>
      <c r="K17" s="6"/>
      <c r="L17" s="6">
        <f t="shared" ref="L17" ca="1" si="49">4%*L8</f>
        <v>7691.96</v>
      </c>
      <c r="M17" s="6"/>
      <c r="N17" s="6">
        <f t="shared" ref="N17" ca="1" si="50">4%*N8</f>
        <v>6691</v>
      </c>
      <c r="O17" s="6"/>
      <c r="P17" s="6">
        <f t="shared" ref="P17" ca="1" si="51">4%*P8</f>
        <v>7154.84</v>
      </c>
      <c r="Q17" s="6"/>
    </row>
    <row r="18" spans="1:17" x14ac:dyDescent="0.25">
      <c r="A18" s="15" t="s">
        <v>16</v>
      </c>
      <c r="B18" s="15"/>
      <c r="C18" s="15"/>
      <c r="D18" s="6">
        <f ca="1">RANDBETWEEN(5000,7000)</f>
        <v>6739</v>
      </c>
      <c r="E18" s="6"/>
      <c r="F18" s="6">
        <f t="shared" ref="F18" ca="1" si="52">RANDBETWEEN(5000,7000)</f>
        <v>6390</v>
      </c>
      <c r="G18" s="6"/>
      <c r="H18" s="6">
        <f t="shared" ref="H18" ca="1" si="53">RANDBETWEEN(5000,7000)</f>
        <v>6372</v>
      </c>
      <c r="I18" s="6"/>
      <c r="J18" s="6">
        <f t="shared" ref="J18" ca="1" si="54">RANDBETWEEN(5000,7000)</f>
        <v>5395</v>
      </c>
      <c r="K18" s="6"/>
      <c r="L18" s="6">
        <f t="shared" ref="L18" ca="1" si="55">RANDBETWEEN(5000,7000)</f>
        <v>6010</v>
      </c>
      <c r="M18" s="6"/>
      <c r="N18" s="6">
        <f t="shared" ref="N18" ca="1" si="56">RANDBETWEEN(5000,7000)</f>
        <v>5100</v>
      </c>
      <c r="O18" s="6"/>
      <c r="P18" s="6">
        <f t="shared" ref="P18" ca="1" si="57">RANDBETWEEN(5000,7000)</f>
        <v>5167</v>
      </c>
      <c r="Q18" s="6"/>
    </row>
    <row r="19" spans="1:17" x14ac:dyDescent="0.25">
      <c r="A19" s="15" t="s">
        <v>17</v>
      </c>
      <c r="B19" s="15"/>
      <c r="C19" s="15"/>
      <c r="D19" s="6">
        <f ca="1">RANDBETWEEN(1000,2000)</f>
        <v>1643</v>
      </c>
      <c r="E19" s="6"/>
      <c r="F19" s="6">
        <f t="shared" ref="F19" ca="1" si="58">RANDBETWEEN(1000,2000)</f>
        <v>1346</v>
      </c>
      <c r="G19" s="6"/>
      <c r="H19" s="6">
        <f ca="1">RANDBETWEEN(1000,2000)</f>
        <v>1573</v>
      </c>
      <c r="I19" s="6"/>
      <c r="J19" s="6">
        <f t="shared" ref="J19" ca="1" si="59">RANDBETWEEN(1000,2000)</f>
        <v>1694</v>
      </c>
      <c r="K19" s="6"/>
      <c r="L19" s="6">
        <f t="shared" ref="L19" ca="1" si="60">RANDBETWEEN(1000,2000)</f>
        <v>1056</v>
      </c>
      <c r="M19" s="6"/>
      <c r="N19" s="6">
        <f t="shared" ref="N19" ca="1" si="61">RANDBETWEEN(1000,2000)</f>
        <v>1356</v>
      </c>
      <c r="O19" s="6"/>
      <c r="P19" s="6">
        <f t="shared" ref="P19" ca="1" si="62">RANDBETWEEN(1000,2000)</f>
        <v>1744</v>
      </c>
      <c r="Q19" s="6"/>
    </row>
    <row r="20" spans="1:17" x14ac:dyDescent="0.25">
      <c r="A20" s="15" t="s">
        <v>18</v>
      </c>
      <c r="B20" s="15"/>
      <c r="C20" s="15"/>
      <c r="D20" s="6">
        <v>60</v>
      </c>
      <c r="E20" s="6"/>
      <c r="F20" s="6">
        <v>60</v>
      </c>
      <c r="G20" s="6"/>
      <c r="H20" s="6">
        <v>60</v>
      </c>
      <c r="I20" s="6"/>
      <c r="J20" s="6">
        <v>60</v>
      </c>
      <c r="K20" s="6"/>
      <c r="L20" s="6">
        <v>60</v>
      </c>
      <c r="M20" s="6"/>
      <c r="N20" s="6">
        <v>60</v>
      </c>
      <c r="O20" s="6"/>
      <c r="P20" s="6">
        <v>60</v>
      </c>
      <c r="Q20" s="6"/>
    </row>
    <row r="21" spans="1:17" x14ac:dyDescent="0.25">
      <c r="A21" s="15" t="s">
        <v>19</v>
      </c>
      <c r="B21" s="15"/>
      <c r="C21" s="15"/>
      <c r="D21" s="6">
        <v>2500</v>
      </c>
      <c r="E21" s="6"/>
      <c r="F21" s="6">
        <v>2501</v>
      </c>
      <c r="G21" s="6"/>
      <c r="H21" s="6">
        <v>2502</v>
      </c>
      <c r="I21" s="6"/>
      <c r="J21" s="6">
        <v>2503</v>
      </c>
      <c r="K21" s="6"/>
      <c r="L21" s="6">
        <v>2504</v>
      </c>
      <c r="M21" s="6"/>
      <c r="N21" s="6">
        <v>2505</v>
      </c>
      <c r="O21" s="6"/>
      <c r="P21" s="6">
        <v>2506</v>
      </c>
      <c r="Q21" s="6"/>
    </row>
    <row r="22" spans="1:17" x14ac:dyDescent="0.25">
      <c r="A22" s="15" t="s">
        <v>20</v>
      </c>
      <c r="B22" s="15"/>
      <c r="C22" s="15"/>
      <c r="D22" s="6">
        <v>1500</v>
      </c>
      <c r="E22" s="6"/>
      <c r="F22" s="6">
        <v>1501</v>
      </c>
      <c r="G22" s="6"/>
      <c r="H22" s="6">
        <v>1502</v>
      </c>
      <c r="I22" s="6"/>
      <c r="J22" s="6">
        <v>1503</v>
      </c>
      <c r="K22" s="6"/>
      <c r="L22" s="6">
        <v>1504</v>
      </c>
      <c r="M22" s="6"/>
      <c r="N22" s="6">
        <v>1505</v>
      </c>
      <c r="O22" s="6"/>
      <c r="P22" s="6">
        <v>1506</v>
      </c>
      <c r="Q22" s="6"/>
    </row>
    <row r="23" spans="1:17" x14ac:dyDescent="0.25">
      <c r="A23" s="15" t="s">
        <v>21</v>
      </c>
      <c r="B23" s="15"/>
      <c r="C23" s="15"/>
      <c r="D23" s="6">
        <f ca="1">RANDBETWEEN(1000,5000)</f>
        <v>2096</v>
      </c>
      <c r="E23" s="6"/>
      <c r="F23" s="6">
        <f t="shared" ref="F23" ca="1" si="63">RANDBETWEEN(1000,5000)</f>
        <v>3377</v>
      </c>
      <c r="G23" s="6"/>
      <c r="H23" s="6">
        <f t="shared" ref="H23" ca="1" si="64">RANDBETWEEN(1000,5000)</f>
        <v>3803</v>
      </c>
      <c r="I23" s="6"/>
      <c r="J23" s="6">
        <f t="shared" ref="J23" ca="1" si="65">RANDBETWEEN(1000,5000)</f>
        <v>2864</v>
      </c>
      <c r="K23" s="6"/>
      <c r="L23" s="6">
        <f t="shared" ref="L23" ca="1" si="66">RANDBETWEEN(1000,5000)</f>
        <v>1688</v>
      </c>
      <c r="M23" s="6"/>
      <c r="N23" s="6">
        <f t="shared" ref="N23" ca="1" si="67">RANDBETWEEN(1000,5000)</f>
        <v>1503</v>
      </c>
      <c r="O23" s="6"/>
      <c r="P23" s="6">
        <f t="shared" ref="P23" ca="1" si="68">RANDBETWEEN(1000,5000)</f>
        <v>2996</v>
      </c>
      <c r="Q23" s="6"/>
    </row>
    <row r="24" spans="1:17" x14ac:dyDescent="0.25">
      <c r="A24" s="15" t="s">
        <v>22</v>
      </c>
      <c r="B24" s="15"/>
      <c r="C24" s="15"/>
      <c r="D24" s="6">
        <f ca="1">RANDBETWEEN(100,300)</f>
        <v>120</v>
      </c>
      <c r="E24" s="6"/>
      <c r="F24" s="6">
        <f t="shared" ref="F24" ca="1" si="69">RANDBETWEEN(100,300)</f>
        <v>204</v>
      </c>
      <c r="G24" s="6"/>
      <c r="H24" s="6">
        <f t="shared" ref="H24" ca="1" si="70">RANDBETWEEN(100,300)</f>
        <v>119</v>
      </c>
      <c r="I24" s="6"/>
      <c r="J24" s="6">
        <f t="shared" ref="J24" ca="1" si="71">RANDBETWEEN(100,300)</f>
        <v>241</v>
      </c>
      <c r="K24" s="6"/>
      <c r="L24" s="6">
        <f t="shared" ref="L24" ca="1" si="72">RANDBETWEEN(100,300)</f>
        <v>285</v>
      </c>
      <c r="M24" s="6"/>
      <c r="N24" s="6">
        <f t="shared" ref="N24" ca="1" si="73">RANDBETWEEN(100,300)</f>
        <v>161</v>
      </c>
      <c r="O24" s="6"/>
      <c r="P24" s="6">
        <f t="shared" ref="P24" ca="1" si="74">RANDBETWEEN(100,300)</f>
        <v>282</v>
      </c>
      <c r="Q24" s="6"/>
    </row>
    <row r="25" spans="1:17" x14ac:dyDescent="0.25">
      <c r="A25" s="15" t="s">
        <v>23</v>
      </c>
      <c r="B25" s="15"/>
      <c r="C25" s="15"/>
      <c r="D25" s="6">
        <v>0</v>
      </c>
      <c r="E25" s="6"/>
      <c r="F25" s="6">
        <v>0</v>
      </c>
      <c r="G25" s="6"/>
      <c r="H25" s="6">
        <v>0</v>
      </c>
      <c r="I25" s="6"/>
      <c r="J25" s="6">
        <v>0</v>
      </c>
      <c r="K25" s="6"/>
      <c r="L25" s="6">
        <v>150</v>
      </c>
      <c r="M25" s="6"/>
      <c r="N25" s="6">
        <v>495</v>
      </c>
      <c r="O25" s="6"/>
      <c r="P25" s="6">
        <v>0</v>
      </c>
      <c r="Q25" s="6"/>
    </row>
    <row r="26" spans="1:17" x14ac:dyDescent="0.25">
      <c r="A26" s="15" t="s">
        <v>24</v>
      </c>
      <c r="B26" s="15"/>
      <c r="C26" s="15"/>
      <c r="D26" s="6">
        <v>890</v>
      </c>
      <c r="E26" s="6"/>
      <c r="F26" s="6">
        <v>0</v>
      </c>
      <c r="G26" s="6"/>
      <c r="H26" s="6">
        <v>44</v>
      </c>
      <c r="I26" s="6"/>
      <c r="J26" s="6">
        <v>14.9</v>
      </c>
      <c r="K26" s="6"/>
      <c r="L26" s="6">
        <v>0</v>
      </c>
      <c r="M26" s="6"/>
      <c r="N26" s="6">
        <v>1500</v>
      </c>
      <c r="O26" s="6"/>
      <c r="P26" s="6">
        <v>0</v>
      </c>
      <c r="Q26" s="6"/>
    </row>
    <row r="27" spans="1:17" x14ac:dyDescent="0.25">
      <c r="A27" s="15" t="s">
        <v>25</v>
      </c>
      <c r="B27" s="15"/>
      <c r="C27" s="15"/>
      <c r="D27" s="6">
        <f ca="1">RANDBETWEEN(1000,2000)</f>
        <v>1511</v>
      </c>
      <c r="E27" s="6"/>
      <c r="F27" s="6">
        <f t="shared" ref="F27" ca="1" si="75">RANDBETWEEN(1000,2000)</f>
        <v>1117</v>
      </c>
      <c r="G27" s="6"/>
      <c r="H27" s="6">
        <f t="shared" ref="H27" ca="1" si="76">RANDBETWEEN(1000,2000)</f>
        <v>1891</v>
      </c>
      <c r="I27" s="6"/>
      <c r="J27" s="6">
        <f t="shared" ref="J27" ca="1" si="77">RANDBETWEEN(1000,2000)</f>
        <v>1970</v>
      </c>
      <c r="K27" s="6"/>
      <c r="L27" s="6">
        <f t="shared" ref="L27" ca="1" si="78">RANDBETWEEN(1000,2000)</f>
        <v>1945</v>
      </c>
      <c r="M27" s="6"/>
      <c r="N27" s="6">
        <f t="shared" ref="N27" ca="1" si="79">RANDBETWEEN(1000,2000)</f>
        <v>1147</v>
      </c>
      <c r="O27" s="6"/>
      <c r="P27" s="6">
        <f t="shared" ref="P27" ca="1" si="80">RANDBETWEEN(1000,2000)</f>
        <v>1683</v>
      </c>
      <c r="Q27" s="6"/>
    </row>
    <row r="28" spans="1:17" x14ac:dyDescent="0.25">
      <c r="A28" s="15" t="s">
        <v>26</v>
      </c>
      <c r="B28" s="15"/>
      <c r="C28" s="15"/>
      <c r="D28" s="6">
        <f ca="1">RANDBETWEEN(10000,15000)</f>
        <v>10140</v>
      </c>
      <c r="E28" s="6"/>
      <c r="F28" s="6">
        <f t="shared" ref="F28" ca="1" si="81">RANDBETWEEN(10000,15000)</f>
        <v>12889</v>
      </c>
      <c r="G28" s="6"/>
      <c r="H28" s="6">
        <f t="shared" ref="H28" ca="1" si="82">RANDBETWEEN(10000,15000)</f>
        <v>12970</v>
      </c>
      <c r="I28" s="6"/>
      <c r="J28" s="6">
        <f t="shared" ref="J28" ca="1" si="83">RANDBETWEEN(10000,15000)</f>
        <v>10713</v>
      </c>
      <c r="K28" s="6"/>
      <c r="L28" s="6">
        <f t="shared" ref="L28" ca="1" si="84">RANDBETWEEN(10000,15000)</f>
        <v>13891</v>
      </c>
      <c r="M28" s="6"/>
      <c r="N28" s="6">
        <f t="shared" ref="N28" ca="1" si="85">RANDBETWEEN(10000,15000)</f>
        <v>14864</v>
      </c>
      <c r="O28" s="6"/>
      <c r="P28" s="6">
        <f t="shared" ref="P28" ca="1" si="86">RANDBETWEEN(10000,15000)</f>
        <v>13331</v>
      </c>
      <c r="Q28" s="6"/>
    </row>
    <row r="29" spans="1:17" x14ac:dyDescent="0.25">
      <c r="A29" s="15" t="s">
        <v>27</v>
      </c>
      <c r="B29" s="15"/>
      <c r="C29" s="15"/>
      <c r="D29" s="6">
        <f ca="1">RANDBETWEEN(1000,5000)</f>
        <v>4792</v>
      </c>
      <c r="E29" s="6"/>
      <c r="F29" s="6">
        <f t="shared" ref="F29" ca="1" si="87">RANDBETWEEN(1000,5000)</f>
        <v>4371</v>
      </c>
      <c r="G29" s="6"/>
      <c r="H29" s="6">
        <f t="shared" ref="H29" ca="1" si="88">RANDBETWEEN(1000,5000)</f>
        <v>3172</v>
      </c>
      <c r="I29" s="6"/>
      <c r="J29" s="6">
        <f t="shared" ref="J29" ca="1" si="89">RANDBETWEEN(1000,5000)</f>
        <v>4621</v>
      </c>
      <c r="K29" s="6"/>
      <c r="L29" s="6">
        <f t="shared" ref="L29" ca="1" si="90">RANDBETWEEN(1000,5000)</f>
        <v>4059</v>
      </c>
      <c r="M29" s="6"/>
      <c r="N29" s="6">
        <f t="shared" ref="N29" ca="1" si="91">RANDBETWEEN(1000,5000)</f>
        <v>1193</v>
      </c>
      <c r="O29" s="6"/>
      <c r="P29" s="6">
        <f t="shared" ref="P29" ca="1" si="92">RANDBETWEEN(1000,5000)</f>
        <v>2011</v>
      </c>
      <c r="Q29" s="6"/>
    </row>
    <row r="30" spans="1:17" x14ac:dyDescent="0.25">
      <c r="A30" s="15" t="s">
        <v>28</v>
      </c>
      <c r="B30" s="15"/>
      <c r="C30" s="15"/>
      <c r="D30" s="6">
        <f ca="1">RANDBETWEEN(1000,3000)</f>
        <v>1416</v>
      </c>
      <c r="E30" s="6"/>
      <c r="F30" s="6">
        <f t="shared" ref="F30" ca="1" si="93">RANDBETWEEN(1000,3000)</f>
        <v>1161</v>
      </c>
      <c r="G30" s="6"/>
      <c r="H30" s="6">
        <f t="shared" ref="H30" ca="1" si="94">RANDBETWEEN(1000,3000)</f>
        <v>2938</v>
      </c>
      <c r="I30" s="6"/>
      <c r="J30" s="6">
        <f t="shared" ref="J30" ca="1" si="95">RANDBETWEEN(1000,3000)</f>
        <v>2432</v>
      </c>
      <c r="K30" s="6"/>
      <c r="L30" s="6">
        <f t="shared" ref="L30:P30" ca="1" si="96">RANDBETWEEN(1000,3000)</f>
        <v>2585</v>
      </c>
      <c r="M30" s="6"/>
      <c r="N30" s="6">
        <f t="shared" ca="1" si="96"/>
        <v>2131</v>
      </c>
      <c r="O30" s="6"/>
      <c r="P30" s="6">
        <f t="shared" ca="1" si="96"/>
        <v>2293</v>
      </c>
      <c r="Q30" s="6"/>
    </row>
    <row r="31" spans="1:17" x14ac:dyDescent="0.25">
      <c r="A31" s="15" t="s">
        <v>29</v>
      </c>
      <c r="B31" s="15"/>
      <c r="C31" s="15"/>
      <c r="D31" s="6">
        <f ca="1">RANDBETWEEN(100,500)</f>
        <v>154</v>
      </c>
      <c r="E31" s="6"/>
      <c r="F31" s="6">
        <f t="shared" ref="F31" ca="1" si="97">RANDBETWEEN(100,500)</f>
        <v>172</v>
      </c>
      <c r="G31" s="6"/>
      <c r="H31" s="6">
        <f t="shared" ref="H31" ca="1" si="98">RANDBETWEEN(100,500)</f>
        <v>467</v>
      </c>
      <c r="I31" s="6"/>
      <c r="J31" s="6">
        <f t="shared" ref="J31" ca="1" si="99">RANDBETWEEN(100,500)</f>
        <v>319</v>
      </c>
      <c r="K31" s="6"/>
      <c r="L31" s="6">
        <f t="shared" ref="L31" ca="1" si="100">RANDBETWEEN(100,500)</f>
        <v>114</v>
      </c>
      <c r="M31" s="6"/>
      <c r="N31" s="6">
        <f t="shared" ref="N31" ca="1" si="101">RANDBETWEEN(100,500)</f>
        <v>258</v>
      </c>
      <c r="O31" s="6"/>
      <c r="P31" s="6">
        <f t="shared" ref="P31" ca="1" si="102">RANDBETWEEN(100,500)</f>
        <v>339</v>
      </c>
      <c r="Q31" s="6"/>
    </row>
    <row r="32" spans="1:17" x14ac:dyDescent="0.25">
      <c r="A32" s="10" t="s">
        <v>31</v>
      </c>
      <c r="B32" s="10"/>
      <c r="C32" s="10"/>
      <c r="D32" s="2">
        <f ca="1">SUM(D10:E31)</f>
        <v>81295.31</v>
      </c>
      <c r="E32" s="2"/>
      <c r="F32" s="2">
        <f t="shared" ref="F32" ca="1" si="103">SUM(F10:G31)</f>
        <v>73362.520166666669</v>
      </c>
      <c r="G32" s="2"/>
      <c r="H32" s="2">
        <f t="shared" ref="H32" ca="1" si="104">SUM(H10:I31)</f>
        <v>76367.25033333333</v>
      </c>
      <c r="I32" s="2"/>
      <c r="J32" s="2">
        <f t="shared" ref="J32" ca="1" si="105">SUM(J10:K31)</f>
        <v>78974.480500000005</v>
      </c>
      <c r="K32" s="2"/>
      <c r="L32" s="2">
        <f t="shared" ref="L32" ca="1" si="106">SUM(L10:M31)</f>
        <v>74658.030666666658</v>
      </c>
      <c r="M32" s="2"/>
      <c r="N32" s="2">
        <f t="shared" ref="N32" ca="1" si="107">SUM(N10:O31)</f>
        <v>80819.400833333333</v>
      </c>
      <c r="O32" s="2"/>
      <c r="P32" s="2">
        <f t="shared" ref="P32" ca="1" si="108">SUM(P10:Q31)</f>
        <v>77996.570999999996</v>
      </c>
      <c r="Q32" s="2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</sheetData>
  <mergeCells count="248">
    <mergeCell ref="A3:C3"/>
    <mergeCell ref="A4:C4"/>
    <mergeCell ref="A5:C5"/>
    <mergeCell ref="A6:C6"/>
    <mergeCell ref="A7:C7"/>
    <mergeCell ref="A24:C24"/>
    <mergeCell ref="A25:C25"/>
    <mergeCell ref="A14:C14"/>
    <mergeCell ref="A15:C15"/>
    <mergeCell ref="A16:C16"/>
    <mergeCell ref="A17:C17"/>
    <mergeCell ref="A18:C18"/>
    <mergeCell ref="A19:C19"/>
    <mergeCell ref="A8:C8"/>
    <mergeCell ref="A10:C10"/>
    <mergeCell ref="A11:C11"/>
    <mergeCell ref="A12:C12"/>
    <mergeCell ref="A13:C13"/>
    <mergeCell ref="P1:Q1"/>
    <mergeCell ref="P2:Q2"/>
    <mergeCell ref="F1:G1"/>
    <mergeCell ref="F2:G2"/>
    <mergeCell ref="H1:I1"/>
    <mergeCell ref="H2:I2"/>
    <mergeCell ref="J1:K1"/>
    <mergeCell ref="J2:K2"/>
    <mergeCell ref="A32:C32"/>
    <mergeCell ref="D2:E2"/>
    <mergeCell ref="D1:E1"/>
    <mergeCell ref="A1:C2"/>
    <mergeCell ref="D3:E3"/>
    <mergeCell ref="D4:E4"/>
    <mergeCell ref="A26:C26"/>
    <mergeCell ref="A27:C27"/>
    <mergeCell ref="A28:C28"/>
    <mergeCell ref="A29:C29"/>
    <mergeCell ref="A30:C30"/>
    <mergeCell ref="A31:C31"/>
    <mergeCell ref="A20:C20"/>
    <mergeCell ref="A21:C21"/>
    <mergeCell ref="A22:C22"/>
    <mergeCell ref="A23:C23"/>
    <mergeCell ref="D5:E5"/>
    <mergeCell ref="D6:E6"/>
    <mergeCell ref="D7:E7"/>
    <mergeCell ref="D8:E8"/>
    <mergeCell ref="D10:E10"/>
    <mergeCell ref="L1:M1"/>
    <mergeCell ref="L2:M2"/>
    <mergeCell ref="N1:O1"/>
    <mergeCell ref="N2:O2"/>
    <mergeCell ref="D32:E32"/>
    <mergeCell ref="F3:G3"/>
    <mergeCell ref="F4:G4"/>
    <mergeCell ref="F5:G5"/>
    <mergeCell ref="F6:G6"/>
    <mergeCell ref="F7:G7"/>
    <mergeCell ref="F8:G8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F21:G21"/>
    <mergeCell ref="F10:G10"/>
    <mergeCell ref="F11:G11"/>
    <mergeCell ref="F12:G12"/>
    <mergeCell ref="F13:G13"/>
    <mergeCell ref="F14:G14"/>
    <mergeCell ref="F15:G15"/>
    <mergeCell ref="D29:E29"/>
    <mergeCell ref="D30:E30"/>
    <mergeCell ref="D16:E16"/>
    <mergeCell ref="H12:I12"/>
    <mergeCell ref="H13:I13"/>
    <mergeCell ref="H14:I14"/>
    <mergeCell ref="F28:G28"/>
    <mergeCell ref="F29:G29"/>
    <mergeCell ref="F30:G30"/>
    <mergeCell ref="F31:G31"/>
    <mergeCell ref="H3:I3"/>
    <mergeCell ref="H4:I4"/>
    <mergeCell ref="H5:I5"/>
    <mergeCell ref="H6:I6"/>
    <mergeCell ref="H7:I7"/>
    <mergeCell ref="H8:I8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H27:I27"/>
    <mergeCell ref="H28:I28"/>
    <mergeCell ref="H29:I29"/>
    <mergeCell ref="H30:I30"/>
    <mergeCell ref="H31:I31"/>
    <mergeCell ref="J3:K3"/>
    <mergeCell ref="J4:K4"/>
    <mergeCell ref="J5:K5"/>
    <mergeCell ref="J6:K6"/>
    <mergeCell ref="J7:K7"/>
    <mergeCell ref="H21:I21"/>
    <mergeCell ref="H22:I22"/>
    <mergeCell ref="H23:I23"/>
    <mergeCell ref="H24:I24"/>
    <mergeCell ref="H25:I25"/>
    <mergeCell ref="H26:I26"/>
    <mergeCell ref="H15:I15"/>
    <mergeCell ref="H16:I16"/>
    <mergeCell ref="H17:I17"/>
    <mergeCell ref="H18:I18"/>
    <mergeCell ref="H19:I19"/>
    <mergeCell ref="H20:I20"/>
    <mergeCell ref="H10:I10"/>
    <mergeCell ref="H11:I11"/>
    <mergeCell ref="J14:K14"/>
    <mergeCell ref="J15:K15"/>
    <mergeCell ref="J16:K16"/>
    <mergeCell ref="J17:K17"/>
    <mergeCell ref="J18:K18"/>
    <mergeCell ref="J19:K19"/>
    <mergeCell ref="J8:K8"/>
    <mergeCell ref="J10:K10"/>
    <mergeCell ref="J11:K11"/>
    <mergeCell ref="J12:K12"/>
    <mergeCell ref="J13:K13"/>
    <mergeCell ref="J26:K26"/>
    <mergeCell ref="J27:K27"/>
    <mergeCell ref="J28:K28"/>
    <mergeCell ref="J29:K29"/>
    <mergeCell ref="J30:K30"/>
    <mergeCell ref="J31:K31"/>
    <mergeCell ref="J20:K20"/>
    <mergeCell ref="J21:K21"/>
    <mergeCell ref="J22:K22"/>
    <mergeCell ref="J23:K23"/>
    <mergeCell ref="J24:K24"/>
    <mergeCell ref="J25:K25"/>
    <mergeCell ref="L12:M12"/>
    <mergeCell ref="L13:M13"/>
    <mergeCell ref="L14:M14"/>
    <mergeCell ref="L3:M3"/>
    <mergeCell ref="L4:M4"/>
    <mergeCell ref="L5:M5"/>
    <mergeCell ref="L6:M6"/>
    <mergeCell ref="L7:M7"/>
    <mergeCell ref="L8:M8"/>
    <mergeCell ref="L27:M27"/>
    <mergeCell ref="L28:M28"/>
    <mergeCell ref="L29:M29"/>
    <mergeCell ref="L30:M30"/>
    <mergeCell ref="L31:M31"/>
    <mergeCell ref="N3:O3"/>
    <mergeCell ref="N4:O4"/>
    <mergeCell ref="N5:O5"/>
    <mergeCell ref="N6:O6"/>
    <mergeCell ref="N7:O7"/>
    <mergeCell ref="L21:M21"/>
    <mergeCell ref="L22:M22"/>
    <mergeCell ref="L23:M23"/>
    <mergeCell ref="L24:M24"/>
    <mergeCell ref="L25:M25"/>
    <mergeCell ref="L26:M26"/>
    <mergeCell ref="L15:M15"/>
    <mergeCell ref="L16:M16"/>
    <mergeCell ref="L17:M17"/>
    <mergeCell ref="L18:M18"/>
    <mergeCell ref="L19:M19"/>
    <mergeCell ref="L20:M20"/>
    <mergeCell ref="L10:M10"/>
    <mergeCell ref="L11:M11"/>
    <mergeCell ref="N14:O14"/>
    <mergeCell ref="N15:O15"/>
    <mergeCell ref="N16:O16"/>
    <mergeCell ref="N17:O17"/>
    <mergeCell ref="N18:O18"/>
    <mergeCell ref="N19:O19"/>
    <mergeCell ref="N8:O8"/>
    <mergeCell ref="N10:O10"/>
    <mergeCell ref="N11:O11"/>
    <mergeCell ref="N12:O12"/>
    <mergeCell ref="N13:O13"/>
    <mergeCell ref="N26:O26"/>
    <mergeCell ref="N27:O27"/>
    <mergeCell ref="N28:O28"/>
    <mergeCell ref="N29:O29"/>
    <mergeCell ref="N30:O30"/>
    <mergeCell ref="N31:O31"/>
    <mergeCell ref="N20:O20"/>
    <mergeCell ref="N21:O21"/>
    <mergeCell ref="N22:O22"/>
    <mergeCell ref="N23:O23"/>
    <mergeCell ref="N24:O24"/>
    <mergeCell ref="N25:O25"/>
    <mergeCell ref="P20:Q20"/>
    <mergeCell ref="P10:Q10"/>
    <mergeCell ref="P11:Q11"/>
    <mergeCell ref="P12:Q12"/>
    <mergeCell ref="P13:Q13"/>
    <mergeCell ref="P14:Q14"/>
    <mergeCell ref="P3:Q3"/>
    <mergeCell ref="P4:Q4"/>
    <mergeCell ref="P5:Q5"/>
    <mergeCell ref="P6:Q6"/>
    <mergeCell ref="P7:Q7"/>
    <mergeCell ref="P8:Q8"/>
    <mergeCell ref="P32:Q32"/>
    <mergeCell ref="A9:Q9"/>
    <mergeCell ref="D31:E31"/>
    <mergeCell ref="P27:Q27"/>
    <mergeCell ref="P28:Q28"/>
    <mergeCell ref="P29:Q29"/>
    <mergeCell ref="P30:Q30"/>
    <mergeCell ref="P31:Q31"/>
    <mergeCell ref="F32:G32"/>
    <mergeCell ref="H32:I32"/>
    <mergeCell ref="J32:K32"/>
    <mergeCell ref="L32:M32"/>
    <mergeCell ref="N32:O32"/>
    <mergeCell ref="P21:Q21"/>
    <mergeCell ref="P22:Q22"/>
    <mergeCell ref="P23:Q23"/>
    <mergeCell ref="P24:Q24"/>
    <mergeCell ref="P25:Q25"/>
    <mergeCell ref="P26:Q26"/>
    <mergeCell ref="P15:Q15"/>
    <mergeCell ref="P16:Q16"/>
    <mergeCell ref="P17:Q17"/>
    <mergeCell ref="P18:Q18"/>
    <mergeCell ref="P19:Q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Naete Souza</dc:creator>
  <cp:lastModifiedBy>Naete Souza</cp:lastModifiedBy>
  <dcterms:created xsi:type="dcterms:W3CDTF">2026-01-15T16:36:24Z</dcterms:created>
  <dcterms:modified xsi:type="dcterms:W3CDTF">2026-01-17T23:37:01Z</dcterms:modified>
</cp:coreProperties>
</file>